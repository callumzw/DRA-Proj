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nappyshopperltd-my.sharepoint.com/personal/callum_grant_snappyshopper_co_uk/Documents/Documents/DRA Portfolio Project/"/>
    </mc:Choice>
  </mc:AlternateContent>
  <xr:revisionPtr revIDLastSave="2251" documentId="11_E60897F41BE170836B02CE998F75CCDC64E183C8" xr6:coauthVersionLast="47" xr6:coauthVersionMax="47" xr10:uidLastSave="{36E581CE-5968-4447-957C-2BC384E0FE00}"/>
  <bookViews>
    <workbookView xWindow="22932" yWindow="-108" windowWidth="23256" windowHeight="12456" tabRatio="815" xr2:uid="{00000000-000D-0000-FFFF-FFFF00000000}"/>
  </bookViews>
  <sheets>
    <sheet name="Executive Summary" sheetId="12" r:id="rId1"/>
    <sheet name="Retailer Performance - SPAR" sheetId="7" r:id="rId2"/>
    <sheet name="Basket Analysis - Premier" sheetId="8" r:id="rId3"/>
    <sheet name="Customer Retention &amp; Delivery" sheetId="9" r:id="rId4"/>
    <sheet name="Growth Drivers" sheetId="6" r:id="rId5"/>
    <sheet name="Schema" sheetId="13" r:id="rId6"/>
  </sheets>
  <definedNames>
    <definedName name="ExternalData_1" localSheetId="3" hidden="1">'Customer Retention &amp; Delivery'!$C$2:$F$5</definedName>
    <definedName name="ExternalData_1" localSheetId="0" hidden="1">'Executive Summary'!$A$47:$M$48</definedName>
    <definedName name="ExternalData_1" localSheetId="4" hidden="1">'Growth Drivers'!$D$2:$K$8</definedName>
    <definedName name="ExternalData_1" localSheetId="1" hidden="1">'Retailer Performance - SPAR'!$A$1:$G$31</definedName>
    <definedName name="ExternalData_2" localSheetId="2" hidden="1">'Basket Analysis - Premier'!$D$2:$H$8</definedName>
    <definedName name="ExternalData_2" localSheetId="0" hidden="1">'Executive Summary'!#REF!</definedName>
    <definedName name="ExternalData_2" localSheetId="4" hidden="1">'Growth Drivers'!#REF!</definedName>
  </definedNames>
  <calcPr calcId="191028"/>
  <pivotCaches>
    <pivotCache cacheId="0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9D2B9-CD7D-4140-82BD-3E0E3E77BBFE}" keepAlive="1" name="Query - delivery_retention_results" description="Connection to the 'delivery_retention_results' query in the workbook." type="5" refreshedVersion="8" background="1" saveData="1">
    <dbPr connection="Provider=Microsoft.Mashup.OleDb.1;Data Source=$Workbook$;Location=delivery_retention_results;Extended Properties=&quot;&quot;" command="SELECT * FROM [delivery_retention_results]"/>
  </connection>
  <connection id="2" xr16:uid="{56340091-22F1-4D6C-BE3E-54E4B446894E}" keepAlive="1" name="Query - growth_results" description="Connection to the 'growth_results' query in the workbook." type="5" refreshedVersion="8" background="1" saveData="1">
    <dbPr connection="Provider=Microsoft.Mashup.OleDb.1;Data Source=$Workbook$;Location=growth_results;Extended Properties=&quot;&quot;" command="SELECT * FROM [growth_results]"/>
  </connection>
  <connection id="3" xr16:uid="{E441A881-F763-4685-B6BF-D70309556E10}" keepAlive="1" name="Query - overview_results" description="Connection to the 'overview_results' query in the workbook." type="5" refreshedVersion="8" background="1" saveData="1">
    <dbPr connection="Provider=Microsoft.Mashup.OleDb.1;Data Source=$Workbook$;Location=overview_results;Extended Properties=&quot;&quot;" command="SELECT * FROM [overview_results]"/>
  </connection>
  <connection id="4" xr16:uid="{C5BB8542-D386-4239-921F-AE6234D6BA9C}" keepAlive="1" name="Query - premier_aov_results" description="Connection to the 'premier_aov_results' query in the workbook." type="5" refreshedVersion="8" background="1" saveData="1">
    <dbPr connection="Provider=Microsoft.Mashup.OleDb.1;Data Source=$Workbook$;Location=premier_aov_results;Extended Properties=&quot;&quot;" command="SELECT * FROM [premier_aov_results]"/>
  </connection>
  <connection id="5" xr16:uid="{90CB99F7-70D0-4390-BD1F-A68F5AF16102}" keepAlive="1" name="Query - spar_performance_results" description="Connection to the 'spar_performance_results' query in the workbook." type="5" refreshedVersion="8" background="1" saveData="1">
    <dbPr connection="Provider=Microsoft.Mashup.OleDb.1;Data Source=$Workbook$;Location=spar_performance_results;Extended Properties=&quot;&quot;" command="SELECT * FROM [spar_performance_results]"/>
  </connection>
</connections>
</file>

<file path=xl/sharedStrings.xml><?xml version="1.0" encoding="utf-8"?>
<sst xmlns="http://schemas.openxmlformats.org/spreadsheetml/2006/main" count="147" uniqueCount="55">
  <si>
    <t>SPAR Stores</t>
  </si>
  <si>
    <t>Q4 Total Revenue</t>
  </si>
  <si>
    <t>Spar - Aberdeen Union</t>
  </si>
  <si>
    <t>Spar - Birmingham Bull</t>
  </si>
  <si>
    <t>Spar - Bristol Broad</t>
  </si>
  <si>
    <t>Spar - Dundee Central</t>
  </si>
  <si>
    <t>Spar - Edinburgh Centre</t>
  </si>
  <si>
    <t>Spar - Glasgow West</t>
  </si>
  <si>
    <t>Spar - Leeds City</t>
  </si>
  <si>
    <t>Spar - Liverpool One</t>
  </si>
  <si>
    <t>Spar - London Camden</t>
  </si>
  <si>
    <t>Spar - Manchester Central</t>
  </si>
  <si>
    <t>Grand Total</t>
  </si>
  <si>
    <t>Region</t>
  </si>
  <si>
    <t>AOV</t>
  </si>
  <si>
    <t>Scotland</t>
  </si>
  <si>
    <t>Yorkshire</t>
  </si>
  <si>
    <t>South West</t>
  </si>
  <si>
    <t>Midlands</t>
  </si>
  <si>
    <t>London</t>
  </si>
  <si>
    <t>North West</t>
  </si>
  <si>
    <t>Revenue</t>
  </si>
  <si>
    <t>Orders</t>
  </si>
  <si>
    <t>Medium (31-60 min)</t>
  </si>
  <si>
    <t>Fast (&lt;30 min)</t>
  </si>
  <si>
    <t>Volume Driven</t>
  </si>
  <si>
    <t>Platform Performance</t>
  </si>
  <si>
    <t>Month</t>
  </si>
  <si>
    <t>Total Revenue</t>
  </si>
  <si>
    <t>Revenue Growth</t>
  </si>
  <si>
    <t>Order Growth</t>
  </si>
  <si>
    <t>AOV Growth</t>
  </si>
  <si>
    <t>Growth Driver</t>
  </si>
  <si>
    <t>Metric Scope</t>
  </si>
  <si>
    <t>Q3 Revenue</t>
  </si>
  <si>
    <t>Q4 Revenue</t>
  </si>
  <si>
    <t>Q3 Orders</t>
  </si>
  <si>
    <t>Q4 Orders</t>
  </si>
  <si>
    <t>Q3 New Customers</t>
  </si>
  <si>
    <t>Q4 New Customers</t>
  </si>
  <si>
    <t>Q3 Avg Delivery (Mins)</t>
  </si>
  <si>
    <t>Q4 Avg Delivery (Mins)</t>
  </si>
  <si>
    <t>New Customer Growth</t>
  </si>
  <si>
    <t>Delivery Time Change</t>
  </si>
  <si>
    <t>Delivery Speed</t>
  </si>
  <si>
    <t>Total Customers</t>
  </si>
  <si>
    <t>Retained Customers</t>
  </si>
  <si>
    <t>Retention Rate</t>
  </si>
  <si>
    <t>Total Orders</t>
  </si>
  <si>
    <t>Orders per Customer</t>
  </si>
  <si>
    <t>Store</t>
  </si>
  <si>
    <t>Avg Delivery Time (Mins)</t>
  </si>
  <si>
    <t>Avg Order Value</t>
  </si>
  <si>
    <t>Avg Delivery Time</t>
  </si>
  <si>
    <t>Slow (60+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</si>
</sst>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£&quot;* #,##0.00_-;\-&quot;£&quot;* #,##0.00_-;_-&quot;£&quot;* &quot;-&quot;??_-;_-@_-"/>
    <numFmt numFmtId="164" formatCode="&quot;£&quot;#,##0.00"/>
    <numFmt numFmtId="165" formatCode="0.0%"/>
    <numFmt numFmtId="166" formatCode="[$-809]mmmm\ yy"/>
    <numFmt numFmtId="167" formatCode="[$-809]mmmm"/>
    <numFmt numFmtId="168" formatCode="[$-409]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1" applyNumberFormat="1" applyFont="1"/>
    <xf numFmtId="2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1" fontId="0" fillId="0" borderId="0" xfId="0" applyNumberFormat="1"/>
    <xf numFmtId="165" fontId="0" fillId="0" borderId="0" xfId="0" applyNumberFormat="1"/>
    <xf numFmtId="167" fontId="0" fillId="0" borderId="0" xfId="0" applyNumberFormat="1"/>
    <xf numFmtId="164" fontId="0" fillId="0" borderId="0" xfId="2" applyNumberFormat="1" applyFont="1"/>
    <xf numFmtId="0" fontId="3" fillId="0" borderId="0" xfId="0" applyFont="1"/>
    <xf numFmtId="9" fontId="0" fillId="0" borderId="0" xfId="1" applyFont="1"/>
    <xf numFmtId="0" fontId="4" fillId="0" borderId="0" xfId="0" applyFont="1"/>
    <xf numFmtId="164" fontId="4" fillId="0" borderId="0" xfId="0" applyNumberFormat="1" applyFont="1"/>
    <xf numFmtId="168" fontId="0" fillId="0" borderId="0" xfId="0" applyNumberFormat="1"/>
    <xf numFmtId="0" fontId="5" fillId="0" borderId="0" xfId="0" applyFont="1"/>
    <xf numFmtId="164" fontId="5" fillId="0" borderId="0" xfId="0" applyNumberFormat="1" applyFont="1"/>
    <xf numFmtId="17" fontId="0" fillId="0" borderId="0" xfId="0" applyNumberFormat="1"/>
    <xf numFmtId="0" fontId="6" fillId="0" borderId="0" xfId="0" pivotButton="1" applyFont="1"/>
    <xf numFmtId="1" fontId="6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57"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2" formatCode="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numFmt numFmtId="164" formatCode="&quot;£&quot;#,##0.00"/>
    </dxf>
    <dxf>
      <numFmt numFmtId="1" formatCode="0"/>
    </dxf>
    <dxf>
      <numFmt numFmtId="164" formatCode="&quot;£&quot;#,##0.00"/>
    </dxf>
    <dxf>
      <numFmt numFmtId="164" formatCode="&quot;£&quot;#,##0.00"/>
    </dxf>
    <dxf>
      <numFmt numFmtId="0" formatCode="General"/>
    </dxf>
    <dxf>
      <numFmt numFmtId="0" formatCode="General"/>
    </dxf>
    <dxf>
      <numFmt numFmtId="164" formatCode="&quot;£&quot;#,##0.00"/>
    </dxf>
    <dxf>
      <numFmt numFmtId="164" formatCode="&quot;£&quot;#,##0.00"/>
    </dxf>
    <dxf>
      <numFmt numFmtId="168" formatCode="[$-409]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numFmt numFmtId="0" formatCode="General"/>
    </dxf>
    <dxf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22" formatCode="mmm\-yy"/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2" formatCode="0.00"/>
    </dxf>
    <dxf>
      <numFmt numFmtId="2" formatCode="0.00"/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E2C5FF"/>
        </patternFill>
      </fill>
    </dxf>
    <dxf>
      <fill>
        <patternFill>
          <bgColor rgb="FFCC99FF"/>
        </patternFill>
      </fill>
    </dxf>
    <dxf>
      <fill>
        <patternFill>
          <bgColor rgb="FF6600CC"/>
        </patternFill>
      </fill>
    </dxf>
    <dxf>
      <fill>
        <patternFill>
          <bgColor rgb="FF7030A0"/>
        </patternFill>
      </fill>
    </dxf>
  </dxfs>
  <tableStyles count="2" defaultTableStyle="TableStyleMedium2" defaultPivotStyle="PivotStyleMedium9">
    <tableStyle name="Table Style 1" pivot="0" count="1" xr9:uid="{902F2DB8-7ACC-402D-ABE2-42C9DDD1AF02}">
      <tableStyleElement type="wholeTable" dxfId="56"/>
    </tableStyle>
    <tableStyle name="Table Style 2" pivot="0" count="3" xr9:uid="{EA0CB148-EA0D-4B17-AD15-27B5C4F66A04}">
      <tableStyleElement type="headerRow" dxfId="55"/>
      <tableStyleElement type="firstRowStripe" dxfId="54"/>
      <tableStyleElement type="secondRowStripe" dxfId="53"/>
    </tableStyle>
  </tableStyles>
  <colors>
    <mruColors>
      <color rgb="FF008000"/>
      <color rgb="FFD5ABFF"/>
      <color rgb="FFE2C5FF"/>
      <color rgb="FFCC99FF"/>
      <color rgb="FF9999FF"/>
      <color rgb="FF6600CC"/>
      <color rgb="FF9933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Driving Growth Over Q4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Drivers'!$I$2</c:f>
              <c:strCache>
                <c:ptCount val="1"/>
                <c:pt idx="0">
                  <c:v>Order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'Growth Drivers'!$D$3:$D$8</c:f>
              <c:numCache>
                <c:formatCode>[$-409]mmm\-yy;@</c:formatCode>
                <c:ptCount val="6"/>
                <c:pt idx="0">
                  <c:v>45627</c:v>
                </c:pt>
                <c:pt idx="1">
                  <c:v>45597</c:v>
                </c:pt>
                <c:pt idx="2">
                  <c:v>45566</c:v>
                </c:pt>
                <c:pt idx="3">
                  <c:v>45536</c:v>
                </c:pt>
                <c:pt idx="4">
                  <c:v>45505</c:v>
                </c:pt>
                <c:pt idx="5">
                  <c:v>45474</c:v>
                </c:pt>
              </c:numCache>
            </c:numRef>
          </c:cat>
          <c:val>
            <c:numRef>
              <c:f>'Growth Drivers'!$I$3:$I$8</c:f>
              <c:numCache>
                <c:formatCode>0%</c:formatCode>
                <c:ptCount val="6"/>
                <c:pt idx="0">
                  <c:v>-8.4000000000000005E-2</c:v>
                </c:pt>
                <c:pt idx="1">
                  <c:v>-8.5000000000000006E-2</c:v>
                </c:pt>
                <c:pt idx="2">
                  <c:v>9.7000000000000003E-2</c:v>
                </c:pt>
                <c:pt idx="3">
                  <c:v>-0.10299999999999999</c:v>
                </c:pt>
                <c:pt idx="4">
                  <c:v>0.23499999999999999</c:v>
                </c:pt>
                <c:pt idx="5">
                  <c:v>-6.6000000000000003E-2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9-4FBE-ADCE-0A2AD45E6F8A}"/>
            </c:ext>
          </c:extLst>
        </c:ser>
        <c:ser>
          <c:idx val="1"/>
          <c:order val="1"/>
          <c:tx>
            <c:strRef>
              <c:f>'Growth Drivers'!$J$2</c:f>
              <c:strCache>
                <c:ptCount val="1"/>
                <c:pt idx="0">
                  <c:v>AOV Growth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'Growth Drivers'!$D$3:$D$8</c:f>
              <c:numCache>
                <c:formatCode>[$-409]mmm\-yy;@</c:formatCode>
                <c:ptCount val="6"/>
                <c:pt idx="0">
                  <c:v>45627</c:v>
                </c:pt>
                <c:pt idx="1">
                  <c:v>45597</c:v>
                </c:pt>
                <c:pt idx="2">
                  <c:v>45566</c:v>
                </c:pt>
                <c:pt idx="3">
                  <c:v>45536</c:v>
                </c:pt>
                <c:pt idx="4">
                  <c:v>45505</c:v>
                </c:pt>
                <c:pt idx="5">
                  <c:v>45474</c:v>
                </c:pt>
              </c:numCache>
            </c:numRef>
          </c:cat>
          <c:val>
            <c:numRef>
              <c:f>'Growth Drivers'!$J$3:$J$8</c:f>
              <c:numCache>
                <c:formatCode>0%</c:formatCode>
                <c:ptCount val="6"/>
                <c:pt idx="0">
                  <c:v>-1.0999999999999999E-2</c:v>
                </c:pt>
                <c:pt idx="1">
                  <c:v>-3.9E-2</c:v>
                </c:pt>
                <c:pt idx="2">
                  <c:v>5.2999999999999999E-2</c:v>
                </c:pt>
                <c:pt idx="3">
                  <c:v>-2.5000000000000001E-2</c:v>
                </c:pt>
                <c:pt idx="4">
                  <c:v>1.2E-2</c:v>
                </c:pt>
                <c:pt idx="5">
                  <c:v>-8.0000000000000002E-3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9-4FBE-ADCE-0A2AD45E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069520"/>
        <c:axId val="1922078640"/>
      </c:barChart>
      <c:dateAx>
        <c:axId val="1922069520"/>
        <c:scaling>
          <c:orientation val="minMax"/>
        </c:scaling>
        <c:delete val="0"/>
        <c:axPos val="b"/>
        <c:numFmt formatCode="[$-809]m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78640"/>
        <c:crosses val="autoZero"/>
        <c:auto val="1"/>
        <c:lblOffset val="100"/>
        <c:baseTimeUnit val="months"/>
      </c:dateAx>
      <c:valAx>
        <c:axId val="1922078640"/>
        <c:scaling>
          <c:orientation val="minMax"/>
          <c:max val="0.25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Impact on Retention by 1st Order Delivery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 Retention &amp; Delivery'!$F$2</c:f>
              <c:strCache>
                <c:ptCount val="1"/>
                <c:pt idx="0">
                  <c:v>Retention Rate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AE-412F-8F32-2C48E4B37C0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AE-412F-8F32-2C48E4B37C01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AE-412F-8F32-2C48E4B37C01}"/>
              </c:ext>
            </c:extLst>
          </c:dPt>
          <c:cat>
            <c:strRef>
              <c:f>'Customer Retention &amp; Delivery'!$C$3:$C$5</c:f>
              <c:strCache>
                <c:ptCount val="3"/>
                <c:pt idx="0">
                  <c:v>Slow (60+ min)</c:v>
                </c:pt>
                <c:pt idx="1">
                  <c:v>Medium (31-60 min)</c:v>
                </c:pt>
                <c:pt idx="2">
                  <c:v>Fast (&lt;30 min)</c:v>
                </c:pt>
              </c:strCache>
            </c:strRef>
          </c:cat>
          <c:val>
            <c:numRef>
              <c:f>'Customer Retention &amp; Delivery'!$F$3:$F$5</c:f>
              <c:numCache>
                <c:formatCode>0%</c:formatCode>
                <c:ptCount val="3"/>
                <c:pt idx="0">
                  <c:v>0.54400000000000004</c:v>
                </c:pt>
                <c:pt idx="1">
                  <c:v>0.505</c:v>
                </c:pt>
                <c:pt idx="2">
                  <c:v>0.50900000000000001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AE-412F-8F32-2C48E4B3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829263"/>
        <c:axId val="875829743"/>
      </c:barChart>
      <c:catAx>
        <c:axId val="87582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29743"/>
        <c:crosses val="autoZero"/>
        <c:auto val="1"/>
        <c:lblAlgn val="ctr"/>
        <c:lblOffset val="100"/>
        <c:noMultiLvlLbl val="0"/>
      </c:catAx>
      <c:valAx>
        <c:axId val="875829743"/>
        <c:scaling>
          <c:orientation val="minMax"/>
          <c:max val="0.55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29263"/>
        <c:crosses val="autoZero"/>
        <c:crossBetween val="between"/>
        <c:majorUnit val="0.1100000000000000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[Partner_Dashboard_Q4_Portfolio.xlsx]Retailer Performance - SPAR!PivotTable6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Scotland Leading Revenue (SPAR)</a:t>
            </a:r>
          </a:p>
        </c:rich>
      </c:tx>
      <c:layout>
        <c:manualLayout>
          <c:xMode val="edge"/>
          <c:yMode val="edge"/>
          <c:x val="0.28631580339714557"/>
          <c:y val="3.3684018664333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 Performance - SPAR'!$P$24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0A-4699-B910-434C773ACCF0}"/>
              </c:ext>
            </c:extLst>
          </c:dPt>
          <c:cat>
            <c:strRef>
              <c:f>'Retailer Performance - SPAR'!$O$25:$O$31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West</c:v>
                </c:pt>
                <c:pt idx="5">
                  <c:v>Yorkshire</c:v>
                </c:pt>
              </c:strCache>
            </c:strRef>
          </c:cat>
          <c:val>
            <c:numRef>
              <c:f>'Retailer Performance - SPAR'!$P$25:$P$31</c:f>
              <c:numCache>
                <c:formatCode>"£"#,##0.00</c:formatCode>
                <c:ptCount val="6"/>
                <c:pt idx="0">
                  <c:v>624.79</c:v>
                </c:pt>
                <c:pt idx="1">
                  <c:v>243.15</c:v>
                </c:pt>
                <c:pt idx="2">
                  <c:v>867.19</c:v>
                </c:pt>
                <c:pt idx="3">
                  <c:v>2738</c:v>
                </c:pt>
                <c:pt idx="4">
                  <c:v>459.59000000000003</c:v>
                </c:pt>
                <c:pt idx="5">
                  <c:v>427.41999999999996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0A-4699-B910-434C773AC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4976"/>
        <c:axId val="14326896"/>
      </c:barChart>
      <c:catAx>
        <c:axId val="143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896"/>
        <c:crosses val="autoZero"/>
        <c:auto val="1"/>
        <c:lblAlgn val="ctr"/>
        <c:lblOffset val="100"/>
        <c:noMultiLvlLbl val="0"/>
      </c:catAx>
      <c:valAx>
        <c:axId val="14326896"/>
        <c:scaling>
          <c:orientation val="minMax"/>
          <c:max val="2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976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Premier: London has Noticable Higher AOV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'Basket Analysis - Premier'!$G$2</c:f>
              <c:strCache>
                <c:ptCount val="1"/>
                <c:pt idx="0">
                  <c:v>AOV</c:v>
                </c:pt>
              </c:strCache>
            </c:strRef>
          </c:tx>
          <c:spPr>
            <a:solidFill>
              <a:srgbClr val="D5AB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E0-44FB-A949-689680EBDACC}"/>
              </c:ext>
            </c:extLst>
          </c:dPt>
          <c:cat>
            <c:strRef>
              <c:f>'Basket Analysis - Premier'!$D$3:$D$8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West</c:v>
                </c:pt>
                <c:pt idx="5">
                  <c:v>Yorkshire</c:v>
                </c:pt>
              </c:strCache>
            </c:strRef>
          </c:cat>
          <c:val>
            <c:numRef>
              <c:f>'Basket Analysis - Premier'!$G$3:$G$8</c:f>
              <c:numCache>
                <c:formatCode>"£"#,##0.00</c:formatCode>
                <c:ptCount val="6"/>
                <c:pt idx="0">
                  <c:v>37.380000000000003</c:v>
                </c:pt>
                <c:pt idx="1">
                  <c:v>30.71</c:v>
                </c:pt>
                <c:pt idx="2">
                  <c:v>32.840000000000003</c:v>
                </c:pt>
                <c:pt idx="3">
                  <c:v>31.5</c:v>
                </c:pt>
                <c:pt idx="4">
                  <c:v>32.869999999999997</c:v>
                </c:pt>
                <c:pt idx="5">
                  <c:v>28.67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E0-44FB-A949-689680EBD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941055"/>
        <c:axId val="925940095"/>
      </c:barChart>
      <c:catAx>
        <c:axId val="92594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40095"/>
        <c:crosses val="autoZero"/>
        <c:auto val="1"/>
        <c:lblAlgn val="ctr"/>
        <c:lblOffset val="100"/>
        <c:noMultiLvlLbl val="0"/>
      </c:catAx>
      <c:valAx>
        <c:axId val="9259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4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 Impact on Retention by 1st Order Delivery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 Retention &amp; Delivery'!$F$2</c:f>
              <c:strCache>
                <c:ptCount val="1"/>
                <c:pt idx="0">
                  <c:v>Retention Rate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B9-4980-8108-09C517B0BA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B9-4980-8108-09C517B0BACE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6B9-4980-8108-09C517B0BACE}"/>
              </c:ext>
            </c:extLst>
          </c:dPt>
          <c:cat>
            <c:strRef>
              <c:f>'Customer Retention &amp; Delivery'!$C$3:$C$5</c:f>
              <c:strCache>
                <c:ptCount val="3"/>
                <c:pt idx="0">
                  <c:v>Slow (60+ min)</c:v>
                </c:pt>
                <c:pt idx="1">
                  <c:v>Medium (31-60 min)</c:v>
                </c:pt>
                <c:pt idx="2">
                  <c:v>Fast (&lt;30 min)</c:v>
                </c:pt>
              </c:strCache>
            </c:strRef>
          </c:cat>
          <c:val>
            <c:numRef>
              <c:f>'Customer Retention &amp; Delivery'!$F$3:$F$5</c:f>
              <c:numCache>
                <c:formatCode>0%</c:formatCode>
                <c:ptCount val="3"/>
                <c:pt idx="0">
                  <c:v>0.54400000000000004</c:v>
                </c:pt>
                <c:pt idx="1">
                  <c:v>0.505</c:v>
                </c:pt>
                <c:pt idx="2">
                  <c:v>0.50900000000000001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980-8108-09C517B0B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829263"/>
        <c:axId val="875829743"/>
      </c:barChart>
      <c:catAx>
        <c:axId val="87582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29743"/>
        <c:crosses val="autoZero"/>
        <c:auto val="1"/>
        <c:lblAlgn val="ctr"/>
        <c:lblOffset val="100"/>
        <c:noMultiLvlLbl val="0"/>
      </c:catAx>
      <c:valAx>
        <c:axId val="875829743"/>
        <c:scaling>
          <c:orientation val="minMax"/>
          <c:max val="0.55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29263"/>
        <c:crosses val="autoZero"/>
        <c:crossBetween val="between"/>
        <c:majorUnit val="0.1100000000000000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Drove Growth Change Over Q4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Drivers'!$I$2</c:f>
              <c:strCache>
                <c:ptCount val="1"/>
                <c:pt idx="0">
                  <c:v>Order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'Growth Drivers'!$D$3:$D$8</c:f>
              <c:numCache>
                <c:formatCode>[$-409]mmm\-yy;@</c:formatCode>
                <c:ptCount val="6"/>
                <c:pt idx="0">
                  <c:v>45627</c:v>
                </c:pt>
                <c:pt idx="1">
                  <c:v>45597</c:v>
                </c:pt>
                <c:pt idx="2">
                  <c:v>45566</c:v>
                </c:pt>
                <c:pt idx="3">
                  <c:v>45536</c:v>
                </c:pt>
                <c:pt idx="4">
                  <c:v>45505</c:v>
                </c:pt>
                <c:pt idx="5">
                  <c:v>45474</c:v>
                </c:pt>
              </c:numCache>
            </c:numRef>
          </c:cat>
          <c:val>
            <c:numRef>
              <c:f>'Growth Drivers'!$I$3:$I$8</c:f>
              <c:numCache>
                <c:formatCode>0%</c:formatCode>
                <c:ptCount val="6"/>
                <c:pt idx="0">
                  <c:v>-8.4000000000000005E-2</c:v>
                </c:pt>
                <c:pt idx="1">
                  <c:v>-8.5000000000000006E-2</c:v>
                </c:pt>
                <c:pt idx="2">
                  <c:v>9.7000000000000003E-2</c:v>
                </c:pt>
                <c:pt idx="3">
                  <c:v>-0.10299999999999999</c:v>
                </c:pt>
                <c:pt idx="4">
                  <c:v>0.23499999999999999</c:v>
                </c:pt>
                <c:pt idx="5">
                  <c:v>-6.6000000000000003E-2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5-4C26-B2D9-CEC9102B5253}"/>
            </c:ext>
          </c:extLst>
        </c:ser>
        <c:ser>
          <c:idx val="1"/>
          <c:order val="1"/>
          <c:tx>
            <c:strRef>
              <c:f>'Growth Drivers'!$J$2</c:f>
              <c:strCache>
                <c:ptCount val="1"/>
                <c:pt idx="0">
                  <c:v>AOV Growth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'Growth Drivers'!$D$3:$D$8</c:f>
              <c:numCache>
                <c:formatCode>[$-409]mmm\-yy;@</c:formatCode>
                <c:ptCount val="6"/>
                <c:pt idx="0">
                  <c:v>45627</c:v>
                </c:pt>
                <c:pt idx="1">
                  <c:v>45597</c:v>
                </c:pt>
                <c:pt idx="2">
                  <c:v>45566</c:v>
                </c:pt>
                <c:pt idx="3">
                  <c:v>45536</c:v>
                </c:pt>
                <c:pt idx="4">
                  <c:v>45505</c:v>
                </c:pt>
                <c:pt idx="5">
                  <c:v>45474</c:v>
                </c:pt>
              </c:numCache>
            </c:numRef>
          </c:cat>
          <c:val>
            <c:numRef>
              <c:f>'Growth Drivers'!$J$3:$J$8</c:f>
              <c:numCache>
                <c:formatCode>0%</c:formatCode>
                <c:ptCount val="6"/>
                <c:pt idx="0">
                  <c:v>-1.0999999999999999E-2</c:v>
                </c:pt>
                <c:pt idx="1">
                  <c:v>-3.9E-2</c:v>
                </c:pt>
                <c:pt idx="2">
                  <c:v>5.2999999999999999E-2</c:v>
                </c:pt>
                <c:pt idx="3">
                  <c:v>-2.5000000000000001E-2</c:v>
                </c:pt>
                <c:pt idx="4">
                  <c:v>1.2E-2</c:v>
                </c:pt>
                <c:pt idx="5">
                  <c:v>-8.0000000000000002E-3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5-4C26-B2D9-CEC9102B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069520"/>
        <c:axId val="1922078640"/>
      </c:barChart>
      <c:dateAx>
        <c:axId val="1922069520"/>
        <c:scaling>
          <c:orientation val="minMax"/>
        </c:scaling>
        <c:delete val="0"/>
        <c:axPos val="b"/>
        <c:numFmt formatCode="[$-809]m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78640"/>
        <c:crosses val="autoZero"/>
        <c:auto val="1"/>
        <c:lblOffset val="100"/>
        <c:baseTimeUnit val="months"/>
      </c:dateAx>
      <c:valAx>
        <c:axId val="1922078640"/>
        <c:scaling>
          <c:orientation val="minMax"/>
          <c:max val="0.25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Executive Summary'!M48"/><Relationship Id="rId3" Type="http://schemas.openxmlformats.org/officeDocument/2006/relationships/hyperlink" Target="#'Executive Summary'!G48"/><Relationship Id="rId7" Type="http://schemas.openxmlformats.org/officeDocument/2006/relationships/hyperlink" Target="#'Executive Summary'!L48"/><Relationship Id="rId2" Type="http://schemas.openxmlformats.org/officeDocument/2006/relationships/hyperlink" Target="#'Executive Summary'!C48"/><Relationship Id="rId1" Type="http://schemas.openxmlformats.org/officeDocument/2006/relationships/hyperlink" Target="#'Executive Summary'!E48"/><Relationship Id="rId6" Type="http://schemas.openxmlformats.org/officeDocument/2006/relationships/hyperlink" Target="#'Executive Summary'!K48"/><Relationship Id="rId5" Type="http://schemas.openxmlformats.org/officeDocument/2006/relationships/hyperlink" Target="#'Executive Summary'!J48"/><Relationship Id="rId10" Type="http://schemas.openxmlformats.org/officeDocument/2006/relationships/chart" Target="../charts/chart2.xml"/><Relationship Id="rId4" Type="http://schemas.openxmlformats.org/officeDocument/2006/relationships/hyperlink" Target="#'Executive Summary'!I48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642938</xdr:colOff>
      <xdr:row>6</xdr:row>
      <xdr:rowOff>127000</xdr:rowOff>
    </xdr:from>
    <xdr:to>
      <xdr:col>5</xdr:col>
      <xdr:colOff>896503</xdr:colOff>
      <xdr:row>10</xdr:row>
      <xdr:rowOff>127000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9410FD-F814-5785-48B4-FFE1EAF6CA95}"/>
            </a:ext>
            <a:ext uri="{147F2762-F138-4A5C-976F-8EAC2B608ADB}">
              <a16:predDERef xmlns:a16="http://schemas.microsoft.com/office/drawing/2014/main" pred="{BC3389C9-0643-12A9-FF8D-AE07DD6D1BA5}"/>
            </a:ext>
          </a:extLst>
        </xdr:cNvPr>
        <xdr:cNvSpPr txBox="1"/>
      </xdr:nvSpPr>
      <xdr:spPr>
        <a:xfrm>
          <a:off x="3929063" y="1222375"/>
          <a:ext cx="1976003" cy="73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0">
              <a:solidFill>
                <a:schemeClr val="dk1"/>
              </a:solidFill>
              <a:latin typeface="+mn-lt"/>
              <a:ea typeface="+mn-lt"/>
              <a:cs typeface="+mn-lt"/>
            </a:rPr>
            <a:t>Total Orders:</a:t>
          </a:r>
          <a:endParaRPr lang="en-US" sz="2000" b="1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0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711</a:t>
          </a:r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19749</xdr:rowOff>
    </xdr:from>
    <xdr:to>
      <xdr:col>5</xdr:col>
      <xdr:colOff>23812</xdr:colOff>
      <xdr:row>2</xdr:row>
      <xdr:rowOff>119064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14E3373-63FA-2C32-C7D2-D4F6B5320263}"/>
            </a:ext>
            <a:ext uri="{147F2762-F138-4A5C-976F-8EAC2B608ADB}">
              <a16:predDERef xmlns:a16="http://schemas.microsoft.com/office/drawing/2014/main" pred="{D918CD10-8FAC-441A-A5AA-AF42F6672809}"/>
            </a:ext>
          </a:extLst>
        </xdr:cNvPr>
        <xdr:cNvSpPr txBox="1"/>
      </xdr:nvSpPr>
      <xdr:spPr>
        <a:xfrm>
          <a:off x="0" y="19749"/>
          <a:ext cx="5032375" cy="464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Q4 Performance Report</a:t>
          </a:r>
        </a:p>
      </xdr:txBody>
    </xdr:sp>
    <xdr:clientData/>
  </xdr:twoCellAnchor>
  <xdr:twoCellAnchor>
    <xdr:from>
      <xdr:col>0</xdr:col>
      <xdr:colOff>0</xdr:colOff>
      <xdr:row>2</xdr:row>
      <xdr:rowOff>130873</xdr:rowOff>
    </xdr:from>
    <xdr:to>
      <xdr:col>5</xdr:col>
      <xdr:colOff>15875</xdr:colOff>
      <xdr:row>5</xdr:row>
      <xdr:rowOff>111125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60382F-694C-7A57-58BE-F8255541AC81}"/>
            </a:ext>
            <a:ext uri="{147F2762-F138-4A5C-976F-8EAC2B608ADB}">
              <a16:predDERef xmlns:a16="http://schemas.microsoft.com/office/drawing/2014/main" pred="{914E3373-63FA-2C32-C7D2-D4F6B5320263}"/>
            </a:ext>
          </a:extLst>
        </xdr:cNvPr>
        <xdr:cNvSpPr txBox="1"/>
      </xdr:nvSpPr>
      <xdr:spPr>
        <a:xfrm>
          <a:off x="0" y="495998"/>
          <a:ext cx="5024438" cy="527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Scope</a:t>
          </a:r>
          <a:r>
            <a:rPr lang="en-US" sz="1200">
              <a:latin typeface="+mn-lt"/>
              <a:ea typeface="+mn-lt"/>
              <a:cs typeface="+mn-lt"/>
            </a:rPr>
            <a:t>: Sample platform data covering orders, customers, retailers and delivery behaviour across a multi-retailer marketplace. </a:t>
          </a:r>
        </a:p>
      </xdr:txBody>
    </xdr:sp>
    <xdr:clientData/>
  </xdr:twoCellAnchor>
  <xdr:twoCellAnchor>
    <xdr:from>
      <xdr:col>6</xdr:col>
      <xdr:colOff>50800</xdr:colOff>
      <xdr:row>0</xdr:row>
      <xdr:rowOff>71436</xdr:rowOff>
    </xdr:from>
    <xdr:to>
      <xdr:col>8</xdr:col>
      <xdr:colOff>441325</xdr:colOff>
      <xdr:row>6</xdr:row>
      <xdr:rowOff>15874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BE8EA5-8E89-83A9-4612-2AD738B4B9E4}"/>
            </a:ext>
            <a:ext uri="{147F2762-F138-4A5C-976F-8EAC2B608ADB}">
              <a16:predDERef xmlns:a16="http://schemas.microsoft.com/office/drawing/2014/main" pred="{1860382F-694C-7A57-58BE-F8255541AC81}"/>
            </a:ext>
          </a:extLst>
        </xdr:cNvPr>
        <xdr:cNvSpPr txBox="1"/>
      </xdr:nvSpPr>
      <xdr:spPr>
        <a:xfrm>
          <a:off x="6432550" y="71436"/>
          <a:ext cx="3375025" cy="1039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Insight</a:t>
          </a:r>
          <a:endParaRPr lang="en-US" sz="18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 and Orders steady growth despite drop in new customers, indicating strong retention.</a:t>
          </a:r>
        </a:p>
      </xdr:txBody>
    </xdr:sp>
    <xdr:clientData/>
  </xdr:twoCellAnchor>
  <xdr:twoCellAnchor>
    <xdr:from>
      <xdr:col>8</xdr:col>
      <xdr:colOff>1021845</xdr:colOff>
      <xdr:row>0</xdr:row>
      <xdr:rowOff>63500</xdr:rowOff>
    </xdr:from>
    <xdr:to>
      <xdr:col>11</xdr:col>
      <xdr:colOff>199717</xdr:colOff>
      <xdr:row>6</xdr:row>
      <xdr:rowOff>15875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BD9001-6283-4D43-9729-E44CDB67F8E5}"/>
            </a:ext>
            <a:ext uri="{147F2762-F138-4A5C-976F-8EAC2B608ADB}">
              <a16:predDERef xmlns:a16="http://schemas.microsoft.com/office/drawing/2014/main" pred="{5DBE8EA5-8E89-83A9-4612-2AD738B4B9E4}"/>
            </a:ext>
          </a:extLst>
        </xdr:cNvPr>
        <xdr:cNvSpPr txBox="1"/>
      </xdr:nvSpPr>
      <xdr:spPr>
        <a:xfrm>
          <a:off x="10388095" y="63500"/>
          <a:ext cx="3075185" cy="10477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Action</a:t>
          </a:r>
          <a:b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Improve Delivery time (50 mins)</a:t>
          </a:r>
          <a:b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as is potential risk for retention, due to poor customer satisfaction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87312</xdr:colOff>
      <xdr:row>15</xdr:row>
      <xdr:rowOff>92974</xdr:rowOff>
    </xdr:from>
    <xdr:to>
      <xdr:col>11</xdr:col>
      <xdr:colOff>468312</xdr:colOff>
      <xdr:row>24</xdr:row>
      <xdr:rowOff>55563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2EB297-0193-4B3F-BB76-BF6B073867CD}"/>
            </a:ext>
          </a:extLst>
        </xdr:cNvPr>
        <xdr:cNvSpPr txBox="1"/>
      </xdr:nvSpPr>
      <xdr:spPr>
        <a:xfrm>
          <a:off x="9453562" y="2831412"/>
          <a:ext cx="4278313" cy="1605651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None/>
            <a:tabLst/>
            <a:defRPr/>
          </a:pPr>
          <a:r>
            <a:rPr kumimoji="0" lang="en-US" sz="1800" b="0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Key Takeaways</a:t>
          </a:r>
          <a:endParaRPr kumimoji="0" lang="en-US" sz="1200" b="0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§"/>
            <a:tabLst/>
            <a:defRPr/>
          </a:pPr>
          <a:r>
            <a:rPr lang="en-US" sz="1400" b="0" i="0">
              <a:effectLst/>
              <a:latin typeface="+mn-lt"/>
              <a:ea typeface="+mn-ea"/>
              <a:cs typeface="+mn-cs"/>
            </a:rPr>
            <a:t>Scotland generates 51% of SPAR revenue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§"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Slow/Late Deliveries was only 14% for 1st time orders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§"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October &amp; August was the peak for Revenue &amp; Total Orders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§"/>
            <a:tabLst/>
            <a:defRPr/>
          </a:pPr>
          <a:r>
            <a:rPr lang="en-US" sz="1400" b="0" i="0">
              <a:effectLst/>
              <a:latin typeface="+mn-lt"/>
              <a:ea typeface="+mn-ea"/>
              <a:cs typeface="+mn-cs"/>
            </a:rPr>
            <a:t>Repeat Ordering Is Low Across All Premier Regions</a:t>
          </a:r>
        </a:p>
      </xdr:txBody>
    </xdr:sp>
    <xdr:clientData/>
  </xdr:twoCellAnchor>
  <xdr:twoCellAnchor>
    <xdr:from>
      <xdr:col>1</xdr:col>
      <xdr:colOff>7938</xdr:colOff>
      <xdr:row>6</xdr:row>
      <xdr:rowOff>128588</xdr:rowOff>
    </xdr:from>
    <xdr:to>
      <xdr:col>3</xdr:col>
      <xdr:colOff>95250</xdr:colOff>
      <xdr:row>10</xdr:row>
      <xdr:rowOff>166687</xdr:rowOff>
    </xdr:to>
    <xdr:sp macro="" textlink="">
      <xdr:nvSpPr>
        <xdr:cNvPr id="11" name="TextBox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2C4E0C-F776-414F-B364-1F25CA17B816}"/>
            </a:ext>
            <a:ext uri="{147F2762-F138-4A5C-976F-8EAC2B608ADB}">
              <a16:predDERef xmlns:a16="http://schemas.microsoft.com/office/drawing/2014/main" pred="{342EB297-0193-4B3F-BB76-BF6B073867CD}"/>
            </a:ext>
          </a:extLst>
        </xdr:cNvPr>
        <xdr:cNvSpPr txBox="1"/>
      </xdr:nvSpPr>
      <xdr:spPr>
        <a:xfrm>
          <a:off x="1389063" y="1223963"/>
          <a:ext cx="2127250" cy="768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0">
              <a:solidFill>
                <a:schemeClr val="dk1"/>
              </a:solidFill>
              <a:latin typeface="+mn-lt"/>
              <a:ea typeface="+mn-lt"/>
              <a:cs typeface="+mn-lt"/>
            </a:rPr>
            <a:t>Total Revenue:</a:t>
          </a:r>
          <a:endParaRPr lang="en-US" sz="1600" b="1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b="1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£24,405.01</a:t>
          </a:r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  <xdr:twoCellAnchor>
    <xdr:from>
      <xdr:col>6</xdr:col>
      <xdr:colOff>50799</xdr:colOff>
      <xdr:row>6</xdr:row>
      <xdr:rowOff>122238</xdr:rowOff>
    </xdr:from>
    <xdr:to>
      <xdr:col>7</xdr:col>
      <xdr:colOff>682624</xdr:colOff>
      <xdr:row>10</xdr:row>
      <xdr:rowOff>134938</xdr:rowOff>
    </xdr:to>
    <xdr:sp macro="" textlink="">
      <xdr:nvSpPr>
        <xdr:cNvPr id="14" name="TextBox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CCBB4C-0876-4D98-A740-1513A5637071}"/>
            </a:ext>
            <a:ext uri="{147F2762-F138-4A5C-976F-8EAC2B608ADB}">
              <a16:predDERef xmlns:a16="http://schemas.microsoft.com/office/drawing/2014/main" pred="{F42C4E0C-F776-414F-B364-1F25CA17B816}"/>
            </a:ext>
          </a:extLst>
        </xdr:cNvPr>
        <xdr:cNvSpPr txBox="1"/>
      </xdr:nvSpPr>
      <xdr:spPr>
        <a:xfrm>
          <a:off x="6432549" y="1217613"/>
          <a:ext cx="2005013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0">
              <a:solidFill>
                <a:schemeClr val="dk1"/>
              </a:solidFill>
              <a:latin typeface="+mn-lt"/>
              <a:ea typeface="+mn-lt"/>
              <a:cs typeface="+mn-lt"/>
            </a:rPr>
            <a:t>New Customers:</a:t>
          </a:r>
          <a:endParaRPr lang="en-US" sz="2000" b="1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0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63</a:t>
          </a:r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  <xdr:twoCellAnchor>
    <xdr:from>
      <xdr:col>7</xdr:col>
      <xdr:colOff>1246188</xdr:colOff>
      <xdr:row>6</xdr:row>
      <xdr:rowOff>120650</xdr:rowOff>
    </xdr:from>
    <xdr:to>
      <xdr:col>9</xdr:col>
      <xdr:colOff>87313</xdr:colOff>
      <xdr:row>10</xdr:row>
      <xdr:rowOff>158750</xdr:rowOff>
    </xdr:to>
    <xdr:sp macro="" textlink="">
      <xdr:nvSpPr>
        <xdr:cNvPr id="15" name="TextBox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2DA638-10EF-431C-ABAE-A02107E99E3C}"/>
            </a:ext>
            <a:ext uri="{147F2762-F138-4A5C-976F-8EAC2B608ADB}">
              <a16:predDERef xmlns:a16="http://schemas.microsoft.com/office/drawing/2014/main" pred="{97CCBB4C-0876-4D98-A740-1513A5637071}"/>
            </a:ext>
          </a:extLst>
        </xdr:cNvPr>
        <xdr:cNvSpPr txBox="1"/>
      </xdr:nvSpPr>
      <xdr:spPr>
        <a:xfrm>
          <a:off x="9136063" y="1216025"/>
          <a:ext cx="2063750" cy="76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0">
              <a:solidFill>
                <a:schemeClr val="dk1"/>
              </a:solidFill>
              <a:latin typeface="+mn-lt"/>
              <a:ea typeface="+mn-lt"/>
              <a:cs typeface="+mn-lt"/>
            </a:rPr>
            <a:t>Avg Delivery Time:</a:t>
          </a:r>
          <a:endParaRPr lang="en-US" sz="2000" b="1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50 mins</a:t>
          </a:r>
        </a:p>
      </xdr:txBody>
    </xdr:sp>
    <xdr:clientData/>
  </xdr:twoCellAnchor>
  <xdr:twoCellAnchor>
    <xdr:from>
      <xdr:col>1</xdr:col>
      <xdr:colOff>7938</xdr:colOff>
      <xdr:row>10</xdr:row>
      <xdr:rowOff>168274</xdr:rowOff>
    </xdr:from>
    <xdr:to>
      <xdr:col>3</xdr:col>
      <xdr:colOff>95250</xdr:colOff>
      <xdr:row>13</xdr:row>
      <xdr:rowOff>42861</xdr:rowOff>
    </xdr:to>
    <xdr:sp macro="" textlink="">
      <xdr:nvSpPr>
        <xdr:cNvPr id="5" name="TextBox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4D55DE-C1D5-C4CE-6338-0A579DF177E4}"/>
            </a:ext>
            <a:ext uri="{147F2762-F138-4A5C-976F-8EAC2B608ADB}">
              <a16:predDERef xmlns:a16="http://schemas.microsoft.com/office/drawing/2014/main" pred="{945D23B8-B45C-4ADA-8DA5-B626616AD436}"/>
            </a:ext>
          </a:extLst>
        </xdr:cNvPr>
        <xdr:cNvSpPr txBox="1"/>
      </xdr:nvSpPr>
      <xdr:spPr>
        <a:xfrm>
          <a:off x="1389063" y="1993899"/>
          <a:ext cx="2127250" cy="422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2.1%</a:t>
          </a:r>
        </a:p>
      </xdr:txBody>
    </xdr:sp>
    <xdr:clientData/>
  </xdr:twoCellAnchor>
  <xdr:twoCellAnchor>
    <xdr:from>
      <xdr:col>3</xdr:col>
      <xdr:colOff>654214</xdr:colOff>
      <xdr:row>10</xdr:row>
      <xdr:rowOff>138112</xdr:rowOff>
    </xdr:from>
    <xdr:to>
      <xdr:col>5</xdr:col>
      <xdr:colOff>885784</xdr:colOff>
      <xdr:row>13</xdr:row>
      <xdr:rowOff>41274</xdr:rowOff>
    </xdr:to>
    <xdr:sp macro="" textlink="">
      <xdr:nvSpPr>
        <xdr:cNvPr id="6" name="TextBox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D660D0-CEE1-432F-B177-1931A23D682A}"/>
            </a:ext>
            <a:ext uri="{147F2762-F138-4A5C-976F-8EAC2B608ADB}">
              <a16:predDERef xmlns:a16="http://schemas.microsoft.com/office/drawing/2014/main" pred="{724D55DE-C1D5-C4CE-6338-0A579DF177E4}"/>
            </a:ext>
          </a:extLst>
        </xdr:cNvPr>
        <xdr:cNvSpPr txBox="1"/>
      </xdr:nvSpPr>
      <xdr:spPr>
        <a:xfrm>
          <a:off x="3940339" y="1963737"/>
          <a:ext cx="1954008" cy="45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1.4%   </a:t>
          </a:r>
        </a:p>
      </xdr:txBody>
    </xdr:sp>
    <xdr:clientData/>
  </xdr:twoCellAnchor>
  <xdr:twoCellAnchor>
    <xdr:from>
      <xdr:col>6</xdr:col>
      <xdr:colOff>52386</xdr:colOff>
      <xdr:row>10</xdr:row>
      <xdr:rowOff>144463</xdr:rowOff>
    </xdr:from>
    <xdr:to>
      <xdr:col>7</xdr:col>
      <xdr:colOff>692951</xdr:colOff>
      <xdr:row>13</xdr:row>
      <xdr:rowOff>0</xdr:rowOff>
    </xdr:to>
    <xdr:sp macro="" textlink="">
      <xdr:nvSpPr>
        <xdr:cNvPr id="8" name="TextBox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3DDB01-7766-4C03-955A-BDC54B340168}"/>
            </a:ext>
            <a:ext uri="{147F2762-F138-4A5C-976F-8EAC2B608ADB}">
              <a16:predDERef xmlns:a16="http://schemas.microsoft.com/office/drawing/2014/main" pred="{B2D660D0-CEE1-432F-B177-1931A23D682A}"/>
            </a:ext>
          </a:extLst>
        </xdr:cNvPr>
        <xdr:cNvSpPr txBox="1"/>
      </xdr:nvSpPr>
      <xdr:spPr>
        <a:xfrm>
          <a:off x="6434136" y="1970088"/>
          <a:ext cx="2013753" cy="403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46.2%   </a:t>
          </a:r>
        </a:p>
      </xdr:txBody>
    </xdr:sp>
    <xdr:clientData/>
  </xdr:twoCellAnchor>
  <xdr:twoCellAnchor>
    <xdr:from>
      <xdr:col>7</xdr:col>
      <xdr:colOff>1254125</xdr:colOff>
      <xdr:row>10</xdr:row>
      <xdr:rowOff>139700</xdr:rowOff>
    </xdr:from>
    <xdr:to>
      <xdr:col>9</xdr:col>
      <xdr:colOff>86734</xdr:colOff>
      <xdr:row>12</xdr:row>
      <xdr:rowOff>168275</xdr:rowOff>
    </xdr:to>
    <xdr:sp macro="" textlink="">
      <xdr:nvSpPr>
        <xdr:cNvPr id="12" name="TextBox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5C1EE6-F1A9-4B70-8560-5F76CFDFDBFD}"/>
            </a:ext>
            <a:ext uri="{147F2762-F138-4A5C-976F-8EAC2B608ADB}">
              <a16:predDERef xmlns:a16="http://schemas.microsoft.com/office/drawing/2014/main" pred="{4D3DDB01-7766-4C03-955A-BDC54B340168}"/>
            </a:ext>
          </a:extLst>
        </xdr:cNvPr>
        <xdr:cNvSpPr txBox="1"/>
      </xdr:nvSpPr>
      <xdr:spPr>
        <a:xfrm>
          <a:off x="9144000" y="1965325"/>
          <a:ext cx="2055234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+2  </a:t>
          </a:r>
        </a:p>
      </xdr:txBody>
    </xdr:sp>
    <xdr:clientData/>
  </xdr:twoCellAnchor>
  <xdr:twoCellAnchor>
    <xdr:from>
      <xdr:col>5</xdr:col>
      <xdr:colOff>230675</xdr:colOff>
      <xdr:row>11</xdr:row>
      <xdr:rowOff>34924</xdr:rowOff>
    </xdr:from>
    <xdr:to>
      <xdr:col>5</xdr:col>
      <xdr:colOff>500063</xdr:colOff>
      <xdr:row>12</xdr:row>
      <xdr:rowOff>160337</xdr:rowOff>
    </xdr:to>
    <xdr:sp macro="" textlink="">
      <xdr:nvSpPr>
        <xdr:cNvPr id="20" name="Up Arrow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FD43C5-EB80-491E-A6B4-6D5CEBAF5768}"/>
            </a:ext>
            <a:ext uri="{147F2762-F138-4A5C-976F-8EAC2B608ADB}">
              <a16:predDERef xmlns:a16="http://schemas.microsoft.com/office/drawing/2014/main" pred="{B0210A96-4262-45DC-A0C3-7E207E0EE0FF}"/>
            </a:ext>
          </a:extLst>
        </xdr:cNvPr>
        <xdr:cNvSpPr/>
      </xdr:nvSpPr>
      <xdr:spPr>
        <a:xfrm>
          <a:off x="5239238" y="2043112"/>
          <a:ext cx="269388" cy="307975"/>
        </a:xfrm>
        <a:prstGeom prst="upArrow">
          <a:avLst/>
        </a:prstGeom>
        <a:solidFill>
          <a:schemeClr val="accent6">
            <a:lumMod val="5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61911</xdr:colOff>
      <xdr:row>11</xdr:row>
      <xdr:rowOff>15876</xdr:rowOff>
    </xdr:from>
    <xdr:to>
      <xdr:col>7</xdr:col>
      <xdr:colOff>311148</xdr:colOff>
      <xdr:row>12</xdr:row>
      <xdr:rowOff>141289</xdr:rowOff>
    </xdr:to>
    <xdr:sp macro="" textlink="">
      <xdr:nvSpPr>
        <xdr:cNvPr id="21" name="Up Arrow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AA76AE-AD55-4C8C-94B6-08D3A91B1BCD}"/>
            </a:ext>
            <a:ext uri="{147F2762-F138-4A5C-976F-8EAC2B608ADB}">
              <a16:predDERef xmlns:a16="http://schemas.microsoft.com/office/drawing/2014/main" pred="{09FD43C5-EB80-491E-A6B4-6D5CEBAF5768}"/>
            </a:ext>
          </a:extLst>
        </xdr:cNvPr>
        <xdr:cNvSpPr/>
      </xdr:nvSpPr>
      <xdr:spPr>
        <a:xfrm rot="10800000">
          <a:off x="7816849" y="2024064"/>
          <a:ext cx="249237" cy="307975"/>
        </a:xfrm>
        <a:prstGeom prst="up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373061</xdr:colOff>
      <xdr:row>11</xdr:row>
      <xdr:rowOff>31748</xdr:rowOff>
    </xdr:from>
    <xdr:to>
      <xdr:col>2</xdr:col>
      <xdr:colOff>634999</xdr:colOff>
      <xdr:row>12</xdr:row>
      <xdr:rowOff>157161</xdr:rowOff>
    </xdr:to>
    <xdr:sp macro="" textlink="">
      <xdr:nvSpPr>
        <xdr:cNvPr id="3" name="Up Arrow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3C4CE6-F5C2-4F5A-926F-7A9784A7841B}"/>
            </a:ext>
            <a:ext uri="{147F2762-F138-4A5C-976F-8EAC2B608ADB}">
              <a16:predDERef xmlns:a16="http://schemas.microsoft.com/office/drawing/2014/main" pred="{B0210A96-4262-45DC-A0C3-7E207E0EE0FF}"/>
            </a:ext>
          </a:extLst>
        </xdr:cNvPr>
        <xdr:cNvSpPr/>
      </xdr:nvSpPr>
      <xdr:spPr>
        <a:xfrm>
          <a:off x="2706686" y="2039936"/>
          <a:ext cx="261938" cy="307975"/>
        </a:xfrm>
        <a:prstGeom prst="upArrow">
          <a:avLst/>
        </a:prstGeom>
        <a:solidFill>
          <a:schemeClr val="accent6">
            <a:lumMod val="5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865187</xdr:colOff>
      <xdr:row>10</xdr:row>
      <xdr:rowOff>177799</xdr:rowOff>
    </xdr:from>
    <xdr:to>
      <xdr:col>8</xdr:col>
      <xdr:colOff>1123950</xdr:colOff>
      <xdr:row>12</xdr:row>
      <xdr:rowOff>120649</xdr:rowOff>
    </xdr:to>
    <xdr:sp macro="" textlink="">
      <xdr:nvSpPr>
        <xdr:cNvPr id="23" name="Up Arrow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79F27EA-A723-4D81-ABDB-BBC408550DCF}"/>
            </a:ext>
            <a:ext uri="{147F2762-F138-4A5C-976F-8EAC2B608ADB}">
              <a16:predDERef xmlns:a16="http://schemas.microsoft.com/office/drawing/2014/main" pred="{09FD43C5-EB80-491E-A6B4-6D5CEBAF5768}"/>
            </a:ext>
          </a:extLst>
        </xdr:cNvPr>
        <xdr:cNvSpPr/>
      </xdr:nvSpPr>
      <xdr:spPr>
        <a:xfrm rot="10800000">
          <a:off x="10366375" y="2003424"/>
          <a:ext cx="258763" cy="307975"/>
        </a:xfrm>
        <a:prstGeom prst="up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95251</xdr:colOff>
      <xdr:row>29</xdr:row>
      <xdr:rowOff>39687</xdr:rowOff>
    </xdr:from>
    <xdr:to>
      <xdr:col>8</xdr:col>
      <xdr:colOff>206376</xdr:colOff>
      <xdr:row>44</xdr:row>
      <xdr:rowOff>71436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4ECBEE7-8DFA-4E31-B405-E8099CBC73AB}"/>
            </a:ext>
            <a:ext uri="{147F2762-F138-4A5C-976F-8EAC2B608ADB}">
              <a16:predDERef xmlns:a16="http://schemas.microsoft.com/office/drawing/2014/main" pred="{AB2A3CB3-D6F0-0B31-76D0-CB776A4D1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587375</xdr:colOff>
      <xdr:row>15</xdr:row>
      <xdr:rowOff>79375</xdr:rowOff>
    </xdr:from>
    <xdr:to>
      <xdr:col>7</xdr:col>
      <xdr:colOff>1238250</xdr:colOff>
      <xdr:row>27</xdr:row>
      <xdr:rowOff>63501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AEAEAF8-69CE-4D27-84A1-CF429325B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8</xdr:row>
      <xdr:rowOff>60960</xdr:rowOff>
    </xdr:from>
    <xdr:to>
      <xdr:col>15</xdr:col>
      <xdr:colOff>822960</xdr:colOff>
      <xdr:row>22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DD2E8E-505B-E98E-9F79-D06C5A1B0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1</xdr:row>
      <xdr:rowOff>3810</xdr:rowOff>
    </xdr:from>
    <xdr:to>
      <xdr:col>11</xdr:col>
      <xdr:colOff>975360</xdr:colOff>
      <xdr:row>7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4D4110-52DA-7DFD-EAE9-E6820F459C92}"/>
            </a:ext>
            <a:ext uri="{147F2762-F138-4A5C-976F-8EAC2B608ADB}">
              <a16:predDERef xmlns:a16="http://schemas.microsoft.com/office/drawing/2014/main" pred="{44DD2E8E-505B-E98E-9F79-D06C5A1B0AA7}"/>
            </a:ext>
          </a:extLst>
        </xdr:cNvPr>
        <xdr:cNvSpPr txBox="1"/>
      </xdr:nvSpPr>
      <xdr:spPr>
        <a:xfrm>
          <a:off x="5873115" y="186690"/>
          <a:ext cx="3126105" cy="1245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u="sng"/>
            <a:t>Insight</a:t>
          </a:r>
        </a:p>
        <a:p>
          <a:pPr algn="ctr"/>
          <a:r>
            <a:rPr lang="en-US" sz="1400"/>
            <a:t>Scotland significantly highest earning region.</a:t>
          </a:r>
          <a:br>
            <a:rPr lang="en-US" sz="1400"/>
          </a:br>
          <a:r>
            <a:rPr lang="en-US" sz="1400"/>
            <a:t>Largely driven by Order</a:t>
          </a:r>
          <a:r>
            <a:rPr lang="en-US" sz="1400" baseline="0"/>
            <a:t>s (73 vs 23 in North West).</a:t>
          </a:r>
          <a:endParaRPr lang="en-US" sz="1400"/>
        </a:p>
      </xdr:txBody>
    </xdr:sp>
    <xdr:clientData/>
  </xdr:twoCellAnchor>
  <xdr:twoCellAnchor>
    <xdr:from>
      <xdr:col>12</xdr:col>
      <xdr:colOff>434340</xdr:colOff>
      <xdr:row>1</xdr:row>
      <xdr:rowOff>7620</xdr:rowOff>
    </xdr:from>
    <xdr:to>
      <xdr:col>15</xdr:col>
      <xdr:colOff>792480</xdr:colOff>
      <xdr:row>7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4438AF-ECF1-47A2-8C91-3E6099CA8DB2}"/>
            </a:ext>
          </a:extLst>
        </xdr:cNvPr>
        <xdr:cNvSpPr txBox="1"/>
      </xdr:nvSpPr>
      <xdr:spPr>
        <a:xfrm>
          <a:off x="9471660" y="190500"/>
          <a:ext cx="3223260" cy="124968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Action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More focus on regions with smaller share of the platform, The Midlands (Smallest) or general RoUK (as all substaintially smaller)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548641</xdr:colOff>
      <xdr:row>9</xdr:row>
      <xdr:rowOff>5715</xdr:rowOff>
    </xdr:from>
    <xdr:to>
      <xdr:col>9</xdr:col>
      <xdr:colOff>350521</xdr:colOff>
      <xdr:row>24</xdr:row>
      <xdr:rowOff>5715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8CFD41-4E6E-E06E-6C4B-33F3F344E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152400</xdr:colOff>
      <xdr:row>9</xdr:row>
      <xdr:rowOff>167640</xdr:rowOff>
    </xdr:from>
    <xdr:ext cx="2202180" cy="17830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5CFB48-68BF-E8A3-3D9B-7206A69AC73E}"/>
            </a:ext>
          </a:extLst>
        </xdr:cNvPr>
        <xdr:cNvSpPr txBox="1"/>
      </xdr:nvSpPr>
      <xdr:spPr>
        <a:xfrm>
          <a:off x="8092440" y="1813560"/>
          <a:ext cx="2202180" cy="1783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15240</xdr:colOff>
      <xdr:row>1</xdr:row>
      <xdr:rowOff>30480</xdr:rowOff>
    </xdr:from>
    <xdr:to>
      <xdr:col>11</xdr:col>
      <xdr:colOff>822960</xdr:colOff>
      <xdr:row>11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AEE400-C095-6EDE-30D8-CD2F2BE861EC}"/>
            </a:ext>
          </a:extLst>
        </xdr:cNvPr>
        <xdr:cNvSpPr txBox="1"/>
      </xdr:nvSpPr>
      <xdr:spPr>
        <a:xfrm>
          <a:off x="10416540" y="213360"/>
          <a:ext cx="2247900" cy="1950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Insight</a:t>
          </a:r>
        </a:p>
        <a:p>
          <a:pPr algn="l"/>
          <a:r>
            <a:rPr lang="en-US" sz="1400"/>
            <a:t>London having</a:t>
          </a:r>
          <a:r>
            <a:rPr lang="en-US" sz="1400" baseline="0"/>
            <a:t> noticible higher AOV, but relatively average customer base.</a:t>
          </a:r>
          <a:br>
            <a:rPr lang="en-US" sz="1400" baseline="0"/>
          </a:br>
          <a:br>
            <a:rPr lang="en-US" sz="1400" baseline="0"/>
          </a:br>
          <a:r>
            <a:rPr lang="en-US" sz="1400" baseline="0"/>
            <a:t>All stores have little to no repeat orders from customers.</a:t>
          </a:r>
          <a:br>
            <a:rPr lang="en-US" sz="1100" baseline="0"/>
          </a:br>
          <a:endParaRPr lang="en-US" sz="1100"/>
        </a:p>
      </xdr:txBody>
    </xdr:sp>
    <xdr:clientData/>
  </xdr:twoCellAnchor>
  <xdr:twoCellAnchor>
    <xdr:from>
      <xdr:col>10</xdr:col>
      <xdr:colOff>22860</xdr:colOff>
      <xdr:row>13</xdr:row>
      <xdr:rowOff>0</xdr:rowOff>
    </xdr:from>
    <xdr:to>
      <xdr:col>11</xdr:col>
      <xdr:colOff>830580</xdr:colOff>
      <xdr:row>22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2A7A81-27B3-474A-9B6E-CC0279B1D78F}"/>
            </a:ext>
          </a:extLst>
        </xdr:cNvPr>
        <xdr:cNvSpPr txBox="1"/>
      </xdr:nvSpPr>
      <xdr:spPr>
        <a:xfrm>
          <a:off x="10424160" y="2377440"/>
          <a:ext cx="2247900" cy="1767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Action</a:t>
          </a:r>
          <a:endParaRPr kumimoji="0" lang="en-US" sz="1600" b="0" i="0" u="sng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Drive for more repeat orders from existing customers could see higher potential returns, opposed to attempts to expand existing base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861060</xdr:colOff>
      <xdr:row>7</xdr:row>
      <xdr:rowOff>140970</xdr:rowOff>
    </xdr:from>
    <xdr:to>
      <xdr:col>6</xdr:col>
      <xdr:colOff>914400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28375-ABE5-331D-437A-1B8CE4D0F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68580</xdr:colOff>
      <xdr:row>0</xdr:row>
      <xdr:rowOff>152400</xdr:rowOff>
    </xdr:from>
    <xdr:to>
      <xdr:col>8</xdr:col>
      <xdr:colOff>1219200</xdr:colOff>
      <xdr:row>8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DF820E-FCD4-C522-0672-A2ED36EC6275}"/>
            </a:ext>
          </a:extLst>
        </xdr:cNvPr>
        <xdr:cNvSpPr txBox="1"/>
      </xdr:nvSpPr>
      <xdr:spPr>
        <a:xfrm>
          <a:off x="8511540" y="152400"/>
          <a:ext cx="230886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Insight</a:t>
          </a:r>
          <a:endParaRPr kumimoji="0" lang="en-US" sz="1600" b="0" i="0" u="sng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l"/>
          <a:r>
            <a:rPr lang="en-US" sz="1400"/>
            <a:t>Delivery time</a:t>
          </a:r>
          <a:r>
            <a:rPr lang="en-US" sz="1400" baseline="0"/>
            <a:t>, at least on customer first time order, has no impact on retention rate</a:t>
          </a:r>
          <a:endParaRPr lang="en-US" sz="1400"/>
        </a:p>
      </xdr:txBody>
    </xdr:sp>
    <xdr:clientData/>
  </xdr:twoCellAnchor>
  <xdr:twoCellAnchor>
    <xdr:from>
      <xdr:col>7</xdr:col>
      <xdr:colOff>30480</xdr:colOff>
      <xdr:row>9</xdr:row>
      <xdr:rowOff>137160</xdr:rowOff>
    </xdr:from>
    <xdr:to>
      <xdr:col>8</xdr:col>
      <xdr:colOff>1333500</xdr:colOff>
      <xdr:row>18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C602AC-BB45-45CE-B6B1-6BEA5EFA6C0A}"/>
            </a:ext>
          </a:extLst>
        </xdr:cNvPr>
        <xdr:cNvSpPr txBox="1"/>
      </xdr:nvSpPr>
      <xdr:spPr>
        <a:xfrm>
          <a:off x="8473440" y="1783080"/>
          <a:ext cx="2461260" cy="15240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Action</a:t>
          </a:r>
        </a:p>
        <a:p>
          <a:r>
            <a:rPr lang="en-US" sz="1400">
              <a:effectLst/>
              <a:latin typeface="+mn-lt"/>
              <a:ea typeface="+mn-ea"/>
              <a:cs typeface="+mn-cs"/>
            </a:rPr>
            <a:t>Track retention</a:t>
          </a:r>
          <a:r>
            <a:rPr lang="en-US" sz="1400" baseline="0">
              <a:effectLst/>
              <a:latin typeface="+mn-lt"/>
              <a:ea typeface="+mn-ea"/>
              <a:cs typeface="+mn-cs"/>
            </a:rPr>
            <a:t> rate on Avg Delivey Time aross all orders to verify impact.</a:t>
          </a:r>
          <a:br>
            <a:rPr lang="en-US" sz="1400" baseline="0">
              <a:effectLst/>
              <a:latin typeface="+mn-lt"/>
              <a:ea typeface="+mn-ea"/>
              <a:cs typeface="+mn-cs"/>
            </a:rPr>
          </a:br>
          <a:r>
            <a:rPr lang="en-US" sz="1400" baseline="0">
              <a:effectLst/>
              <a:latin typeface="+mn-lt"/>
              <a:ea typeface="+mn-ea"/>
              <a:cs typeface="+mn-cs"/>
            </a:rPr>
            <a:t>Check against Regional, Basket Size &amp; Total Orders differences</a:t>
          </a:r>
          <a:endParaRPr lang="en-US" sz="14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3</xdr:row>
      <xdr:rowOff>68581</xdr:rowOff>
    </xdr:from>
    <xdr:to>
      <xdr:col>13</xdr:col>
      <xdr:colOff>1303020</xdr:colOff>
      <xdr:row>9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2A3CB3-D6F0-0B31-76D0-CB776A4D1CCB}"/>
            </a:ext>
            <a:ext uri="{147F2762-F138-4A5C-976F-8EAC2B608ADB}">
              <a16:predDERef xmlns:a16="http://schemas.microsoft.com/office/drawing/2014/main" pred="{B1D82F6C-A126-87AD-39C8-EB6BE9973DF3}"/>
            </a:ext>
          </a:extLst>
        </xdr:cNvPr>
        <xdr:cNvSpPr txBox="1"/>
      </xdr:nvSpPr>
      <xdr:spPr>
        <a:xfrm>
          <a:off x="9425940" y="617221"/>
          <a:ext cx="2644140" cy="1089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Insight</a:t>
          </a:r>
        </a:p>
        <a:p>
          <a:r>
            <a:rPr lang="en-US" sz="1400"/>
            <a:t>Total orders drive bigger chnages in revenue, as AOV seems</a:t>
          </a:r>
          <a:r>
            <a:rPr lang="en-US" sz="1400" baseline="0"/>
            <a:t> relativley stable.</a:t>
          </a:r>
          <a:endParaRPr lang="en-US" sz="1400"/>
        </a:p>
      </xdr:txBody>
    </xdr:sp>
    <xdr:clientData/>
  </xdr:twoCellAnchor>
  <xdr:twoCellAnchor>
    <xdr:from>
      <xdr:col>2</xdr:col>
      <xdr:colOff>594360</xdr:colOff>
      <xdr:row>9</xdr:row>
      <xdr:rowOff>26670</xdr:rowOff>
    </xdr:from>
    <xdr:to>
      <xdr:col>10</xdr:col>
      <xdr:colOff>998220</xdr:colOff>
      <xdr:row>24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FFD65C-7B17-B6DC-20C8-497A3F59D7F5}"/>
            </a:ext>
            <a:ext uri="{147F2762-F138-4A5C-976F-8EAC2B608ADB}">
              <a16:predDERef xmlns:a16="http://schemas.microsoft.com/office/drawing/2014/main" pred="{AB2A3CB3-D6F0-0B31-76D0-CB776A4D1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297180</xdr:colOff>
      <xdr:row>10</xdr:row>
      <xdr:rowOff>114301</xdr:rowOff>
    </xdr:from>
    <xdr:to>
      <xdr:col>13</xdr:col>
      <xdr:colOff>1303020</xdr:colOff>
      <xdr:row>16</xdr:row>
      <xdr:rowOff>68581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F1B2A3-AF6E-4EE1-9AEF-6E56109D9A8D}"/>
            </a:ext>
            <a:ext uri="{147F2762-F138-4A5C-976F-8EAC2B608ADB}">
              <a16:predDERef xmlns:a16="http://schemas.microsoft.com/office/drawing/2014/main" pred="{B1D82F6C-A126-87AD-39C8-EB6BE9973DF3}"/>
            </a:ext>
          </a:extLst>
        </xdr:cNvPr>
        <xdr:cNvSpPr txBox="1"/>
      </xdr:nvSpPr>
      <xdr:spPr>
        <a:xfrm>
          <a:off x="9433560" y="1943101"/>
          <a:ext cx="2636520" cy="105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Action</a:t>
          </a:r>
        </a:p>
        <a:p>
          <a:r>
            <a:rPr lang="en-US" sz="1400"/>
            <a:t>Investigate what causes fluctuation in orders and focus on stabilising them.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</xdr:colOff>
      <xdr:row>2</xdr:row>
      <xdr:rowOff>0</xdr:rowOff>
    </xdr:from>
    <xdr:to>
      <xdr:col>11</xdr:col>
      <xdr:colOff>194310</xdr:colOff>
      <xdr:row>26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3CD74-9B56-F75B-A2A0-05800EE7C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7935" y="365760"/>
          <a:ext cx="4371975" cy="43891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lum Grant" refreshedDate="46045.709423726854" createdVersion="8" refreshedVersion="8" minRefreshableVersion="3" recordCount="30" xr:uid="{0E29DE41-0457-419A-ABCB-A8AD2807EC19}">
  <cacheSource type="worksheet">
    <worksheetSource name="monthly_performance_results"/>
  </cacheSource>
  <cacheFields count="7">
    <cacheField name="Month" numFmtId="166">
      <sharedItems containsSemiMixedTypes="0" containsNonDate="0" containsDate="1" containsString="0" minDate="2024-10-01T00:00:00" maxDate="2024-12-02T00:00:00"/>
    </cacheField>
    <cacheField name="Region" numFmtId="0">
      <sharedItems/>
    </cacheField>
    <cacheField name="Brand - Location" numFmtId="0">
      <sharedItems count="10">
        <s v="Spar - Edinburgh Centre"/>
        <s v="Spar - Dundee Central"/>
        <s v="Spar - London Camden"/>
        <s v="Spar - Aberdeen Union"/>
        <s v="Spar - Liverpool One"/>
        <s v="Spar - Glasgow West"/>
        <s v="Spar - Manchester Central"/>
        <s v="Spar - Leeds City"/>
        <s v="Spar - Bristol Broad"/>
        <s v="Spar - Birmingham Bull"/>
      </sharedItems>
    </cacheField>
    <cacheField name="Total Orders" numFmtId="0">
      <sharedItems containsSemiMixedTypes="0" containsString="0" containsNumber="1" containsInteger="1" minValue="1" maxValue="9"/>
    </cacheField>
    <cacheField name="Total Revenue" numFmtId="164">
      <sharedItems containsSemiMixedTypes="0" containsString="0" containsNumber="1" minValue="54.18" maxValue="377.29"/>
    </cacheField>
    <cacheField name="Avg Order Value" numFmtId="164">
      <sharedItems containsSemiMixedTypes="0" containsString="0" containsNumber="1" minValue="22.15" maxValue="54.18"/>
    </cacheField>
    <cacheField name="Avg Delivery Time" numFmtId="0">
      <sharedItems containsSemiMixedTypes="0" containsString="0" containsNumber="1" containsInteger="1" minValue="30" maxValue="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lum Grant" refreshedDate="46052.380393865744" createdVersion="8" refreshedVersion="8" minRefreshableVersion="3" recordCount="30" xr:uid="{96B725FC-6595-42AA-9B34-33815DF190F3}">
  <cacheSource type="worksheet">
    <worksheetSource name="spar_performance_results"/>
  </cacheSource>
  <cacheFields count="7">
    <cacheField name="Month" numFmtId="17">
      <sharedItems containsSemiMixedTypes="0" containsNonDate="0" containsDate="1" containsString="0" minDate="2024-10-01T00:00:00" maxDate="2024-12-02T00:00:00"/>
    </cacheField>
    <cacheField name="Region" numFmtId="0">
      <sharedItems count="6">
        <s v="Scotland"/>
        <s v="Yorkshire"/>
        <s v="South West"/>
        <s v="Midlands"/>
        <s v="London"/>
        <s v="North West"/>
      </sharedItems>
    </cacheField>
    <cacheField name="Store" numFmtId="0">
      <sharedItems/>
    </cacheField>
    <cacheField name="Total Orders" numFmtId="0">
      <sharedItems containsSemiMixedTypes="0" containsString="0" containsNumber="1" containsInteger="1" minValue="1" maxValue="9"/>
    </cacheField>
    <cacheField name="Revenue" numFmtId="164">
      <sharedItems containsSemiMixedTypes="0" containsString="0" containsNumber="1" minValue="54.18" maxValue="377.29"/>
    </cacheField>
    <cacheField name="AOV" numFmtId="164">
      <sharedItems containsSemiMixedTypes="0" containsString="0" containsNumber="1" minValue="22.15" maxValue="54.18"/>
    </cacheField>
    <cacheField name="Avg Delivery Time (Mins)" numFmtId="0">
      <sharedItems containsSemiMixedTypes="0" containsString="0" containsNumber="1" containsInteger="1" minValue="30" maxValue="102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10-01T00:00:00"/>
    <s v="Scotland"/>
    <x v="0"/>
    <n v="8"/>
    <n v="377.29"/>
    <n v="47.16"/>
    <n v="52"/>
  </r>
  <r>
    <d v="2024-10-01T00:00:00"/>
    <s v="Scotland"/>
    <x v="1"/>
    <n v="9"/>
    <n v="366.02"/>
    <n v="40.67"/>
    <n v="52"/>
  </r>
  <r>
    <d v="2024-10-01T00:00:00"/>
    <s v="London"/>
    <x v="2"/>
    <n v="7"/>
    <n v="276.70999999999998"/>
    <n v="39.53"/>
    <n v="41"/>
  </r>
  <r>
    <d v="2024-12-01T00:00:00"/>
    <s v="Scotland"/>
    <x v="3"/>
    <n v="8"/>
    <n v="274.77"/>
    <n v="34.35"/>
    <n v="46"/>
  </r>
  <r>
    <d v="2024-10-01T00:00:00"/>
    <s v="North West"/>
    <x v="4"/>
    <n v="8"/>
    <n v="273.07"/>
    <n v="34.130000000000003"/>
    <n v="55"/>
  </r>
  <r>
    <d v="2024-11-01T00:00:00"/>
    <s v="Scotland"/>
    <x v="5"/>
    <n v="6"/>
    <n v="262.45"/>
    <n v="43.74"/>
    <n v="67"/>
  </r>
  <r>
    <d v="2024-11-01T00:00:00"/>
    <s v="London"/>
    <x v="2"/>
    <n v="7"/>
    <n v="250.67"/>
    <n v="35.81"/>
    <n v="65"/>
  </r>
  <r>
    <d v="2024-11-01T00:00:00"/>
    <s v="Scotland"/>
    <x v="0"/>
    <n v="6"/>
    <n v="227.09"/>
    <n v="37.85"/>
    <n v="50"/>
  </r>
  <r>
    <d v="2024-10-01T00:00:00"/>
    <s v="Scotland"/>
    <x v="3"/>
    <n v="6"/>
    <n v="223.86"/>
    <n v="37.31"/>
    <n v="36"/>
  </r>
  <r>
    <d v="2024-11-01T00:00:00"/>
    <s v="Scotland"/>
    <x v="1"/>
    <n v="7"/>
    <n v="223.6"/>
    <n v="31.94"/>
    <n v="54"/>
  </r>
  <r>
    <d v="2024-11-01T00:00:00"/>
    <s v="North West"/>
    <x v="4"/>
    <n v="5"/>
    <n v="198.73"/>
    <n v="39.75"/>
    <n v="52"/>
  </r>
  <r>
    <d v="2024-11-01T00:00:00"/>
    <s v="Scotland"/>
    <x v="3"/>
    <n v="6"/>
    <n v="190.35"/>
    <n v="31.73"/>
    <n v="42"/>
  </r>
  <r>
    <d v="2024-11-01T00:00:00"/>
    <s v="North West"/>
    <x v="6"/>
    <n v="4"/>
    <n v="186.74"/>
    <n v="46.69"/>
    <n v="43"/>
  </r>
  <r>
    <d v="2024-12-01T00:00:00"/>
    <s v="Yorkshire"/>
    <x v="7"/>
    <n v="6"/>
    <n v="186.67"/>
    <n v="31.11"/>
    <n v="32"/>
  </r>
  <r>
    <d v="2024-11-01T00:00:00"/>
    <s v="South West"/>
    <x v="8"/>
    <n v="6"/>
    <n v="178.25"/>
    <n v="29.71"/>
    <n v="56"/>
  </r>
  <r>
    <d v="2024-12-01T00:00:00"/>
    <s v="Scotland"/>
    <x v="1"/>
    <n v="5"/>
    <n v="167.49"/>
    <n v="33.5"/>
    <n v="32"/>
  </r>
  <r>
    <d v="2024-12-01T00:00:00"/>
    <s v="Scotland"/>
    <x v="5"/>
    <n v="5"/>
    <n v="166.2"/>
    <n v="33.24"/>
    <n v="31"/>
  </r>
  <r>
    <d v="2024-12-01T00:00:00"/>
    <s v="South West"/>
    <x v="8"/>
    <n v="6"/>
    <n v="149.22"/>
    <n v="24.87"/>
    <n v="73"/>
  </r>
  <r>
    <d v="2024-10-01T00:00:00"/>
    <s v="Scotland"/>
    <x v="5"/>
    <n v="4"/>
    <n v="137.38999999999999"/>
    <n v="34.35"/>
    <n v="48"/>
  </r>
  <r>
    <d v="2024-10-01T00:00:00"/>
    <s v="South West"/>
    <x v="8"/>
    <n v="3"/>
    <n v="132.12"/>
    <n v="44.04"/>
    <n v="45"/>
  </r>
  <r>
    <d v="2024-11-01T00:00:00"/>
    <s v="Yorkshire"/>
    <x v="7"/>
    <n v="4"/>
    <n v="129.97999999999999"/>
    <n v="32.5"/>
    <n v="70"/>
  </r>
  <r>
    <d v="2024-12-01T00:00:00"/>
    <s v="Scotland"/>
    <x v="0"/>
    <n v="3"/>
    <n v="121.49"/>
    <n v="40.5"/>
    <n v="62"/>
  </r>
  <r>
    <d v="2024-12-01T00:00:00"/>
    <s v="Midlands"/>
    <x v="9"/>
    <n v="3"/>
    <n v="114.7"/>
    <n v="38.229999999999997"/>
    <n v="30"/>
  </r>
  <r>
    <d v="2024-10-01T00:00:00"/>
    <s v="Yorkshire"/>
    <x v="7"/>
    <n v="5"/>
    <n v="110.77"/>
    <n v="22.15"/>
    <n v="56"/>
  </r>
  <r>
    <d v="2024-12-01T00:00:00"/>
    <s v="London"/>
    <x v="2"/>
    <n v="2"/>
    <n v="97.41"/>
    <n v="48.71"/>
    <n v="39"/>
  </r>
  <r>
    <d v="2024-10-01T00:00:00"/>
    <s v="North West"/>
    <x v="6"/>
    <n v="2"/>
    <n v="82.56"/>
    <n v="41.28"/>
    <n v="33"/>
  </r>
  <r>
    <d v="2024-12-01T00:00:00"/>
    <s v="North West"/>
    <x v="4"/>
    <n v="2"/>
    <n v="71.91"/>
    <n v="35.96"/>
    <n v="40"/>
  </r>
  <r>
    <d v="2024-10-01T00:00:00"/>
    <s v="Midlands"/>
    <x v="9"/>
    <n v="2"/>
    <n v="65.069999999999993"/>
    <n v="32.54"/>
    <n v="102"/>
  </r>
  <r>
    <d v="2024-11-01T00:00:00"/>
    <s v="Midlands"/>
    <x v="9"/>
    <n v="2"/>
    <n v="63.38"/>
    <n v="31.69"/>
    <n v="44"/>
  </r>
  <r>
    <d v="2024-12-01T00:00:00"/>
    <s v="North West"/>
    <x v="6"/>
    <n v="1"/>
    <n v="54.18"/>
    <n v="54.18"/>
    <n v="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12-01T00:00:00"/>
    <x v="0"/>
    <s v="Spar - Aberdeen Union"/>
    <n v="8"/>
    <n v="274.77"/>
    <n v="34.35"/>
    <n v="46"/>
  </r>
  <r>
    <d v="2024-12-01T00:00:00"/>
    <x v="1"/>
    <s v="Spar - Leeds City"/>
    <n v="6"/>
    <n v="186.67"/>
    <n v="31.11"/>
    <n v="32"/>
  </r>
  <r>
    <d v="2024-12-01T00:00:00"/>
    <x v="0"/>
    <s v="Spar - Dundee Central"/>
    <n v="5"/>
    <n v="167.49"/>
    <n v="33.5"/>
    <n v="32"/>
  </r>
  <r>
    <d v="2024-12-01T00:00:00"/>
    <x v="0"/>
    <s v="Spar - Glasgow West"/>
    <n v="5"/>
    <n v="166.2"/>
    <n v="33.24"/>
    <n v="31"/>
  </r>
  <r>
    <d v="2024-12-01T00:00:00"/>
    <x v="2"/>
    <s v="Spar - Bristol Broad"/>
    <n v="6"/>
    <n v="149.22"/>
    <n v="24.87"/>
    <n v="73"/>
  </r>
  <r>
    <d v="2024-12-01T00:00:00"/>
    <x v="0"/>
    <s v="Spar - Edinburgh Centre"/>
    <n v="3"/>
    <n v="121.49"/>
    <n v="40.5"/>
    <n v="62"/>
  </r>
  <r>
    <d v="2024-12-01T00:00:00"/>
    <x v="3"/>
    <s v="Spar - Birmingham Bull"/>
    <n v="3"/>
    <n v="114.7"/>
    <n v="38.229999999999997"/>
    <n v="30"/>
  </r>
  <r>
    <d v="2024-12-01T00:00:00"/>
    <x v="4"/>
    <s v="Spar - London Camden"/>
    <n v="2"/>
    <n v="97.41"/>
    <n v="48.71"/>
    <n v="39"/>
  </r>
  <r>
    <d v="2024-12-01T00:00:00"/>
    <x v="5"/>
    <s v="Spar - Liverpool One"/>
    <n v="2"/>
    <n v="71.91"/>
    <n v="35.96"/>
    <n v="40"/>
  </r>
  <r>
    <d v="2024-12-01T00:00:00"/>
    <x v="5"/>
    <s v="Spar - Manchester Central"/>
    <n v="1"/>
    <n v="54.18"/>
    <n v="54.18"/>
    <n v="95"/>
  </r>
  <r>
    <d v="2024-11-01T00:00:00"/>
    <x v="0"/>
    <s v="Spar - Glasgow West"/>
    <n v="6"/>
    <n v="262.45"/>
    <n v="43.74"/>
    <n v="67"/>
  </r>
  <r>
    <d v="2024-11-01T00:00:00"/>
    <x v="4"/>
    <s v="Spar - London Camden"/>
    <n v="7"/>
    <n v="250.67"/>
    <n v="35.81"/>
    <n v="65"/>
  </r>
  <r>
    <d v="2024-11-01T00:00:00"/>
    <x v="0"/>
    <s v="Spar - Edinburgh Centre"/>
    <n v="6"/>
    <n v="227.09"/>
    <n v="37.85"/>
    <n v="50"/>
  </r>
  <r>
    <d v="2024-11-01T00:00:00"/>
    <x v="0"/>
    <s v="Spar - Dundee Central"/>
    <n v="7"/>
    <n v="223.6"/>
    <n v="31.94"/>
    <n v="54"/>
  </r>
  <r>
    <d v="2024-11-01T00:00:00"/>
    <x v="5"/>
    <s v="Spar - Liverpool One"/>
    <n v="5"/>
    <n v="198.73"/>
    <n v="39.75"/>
    <n v="52"/>
  </r>
  <r>
    <d v="2024-11-01T00:00:00"/>
    <x v="0"/>
    <s v="Spar - Aberdeen Union"/>
    <n v="6"/>
    <n v="190.35"/>
    <n v="31.73"/>
    <n v="42"/>
  </r>
  <r>
    <d v="2024-11-01T00:00:00"/>
    <x v="5"/>
    <s v="Spar - Manchester Central"/>
    <n v="4"/>
    <n v="186.74"/>
    <n v="46.69"/>
    <n v="43"/>
  </r>
  <r>
    <d v="2024-11-01T00:00:00"/>
    <x v="2"/>
    <s v="Spar - Bristol Broad"/>
    <n v="6"/>
    <n v="178.25"/>
    <n v="29.71"/>
    <n v="56"/>
  </r>
  <r>
    <d v="2024-11-01T00:00:00"/>
    <x v="1"/>
    <s v="Spar - Leeds City"/>
    <n v="4"/>
    <n v="129.97999999999999"/>
    <n v="32.5"/>
    <n v="70"/>
  </r>
  <r>
    <d v="2024-11-01T00:00:00"/>
    <x v="3"/>
    <s v="Spar - Birmingham Bull"/>
    <n v="2"/>
    <n v="63.38"/>
    <n v="31.69"/>
    <n v="44"/>
  </r>
  <r>
    <d v="2024-10-01T00:00:00"/>
    <x v="0"/>
    <s v="Spar - Edinburgh Centre"/>
    <n v="8"/>
    <n v="377.29"/>
    <n v="47.16"/>
    <n v="52"/>
  </r>
  <r>
    <d v="2024-10-01T00:00:00"/>
    <x v="0"/>
    <s v="Spar - Dundee Central"/>
    <n v="9"/>
    <n v="366.02"/>
    <n v="40.67"/>
    <n v="52"/>
  </r>
  <r>
    <d v="2024-10-01T00:00:00"/>
    <x v="4"/>
    <s v="Spar - London Camden"/>
    <n v="7"/>
    <n v="276.70999999999998"/>
    <n v="39.53"/>
    <n v="41"/>
  </r>
  <r>
    <d v="2024-10-01T00:00:00"/>
    <x v="5"/>
    <s v="Spar - Liverpool One"/>
    <n v="8"/>
    <n v="273.07"/>
    <n v="34.130000000000003"/>
    <n v="55"/>
  </r>
  <r>
    <d v="2024-10-01T00:00:00"/>
    <x v="0"/>
    <s v="Spar - Aberdeen Union"/>
    <n v="6"/>
    <n v="223.86"/>
    <n v="37.31"/>
    <n v="36"/>
  </r>
  <r>
    <d v="2024-10-01T00:00:00"/>
    <x v="0"/>
    <s v="Spar - Glasgow West"/>
    <n v="4"/>
    <n v="137.38999999999999"/>
    <n v="34.35"/>
    <n v="48"/>
  </r>
  <r>
    <d v="2024-10-01T00:00:00"/>
    <x v="2"/>
    <s v="Spar - Bristol Broad"/>
    <n v="3"/>
    <n v="132.12"/>
    <n v="44.04"/>
    <n v="45"/>
  </r>
  <r>
    <d v="2024-10-01T00:00:00"/>
    <x v="1"/>
    <s v="Spar - Leeds City"/>
    <n v="5"/>
    <n v="110.77"/>
    <n v="22.15"/>
    <n v="56"/>
  </r>
  <r>
    <d v="2024-10-01T00:00:00"/>
    <x v="5"/>
    <s v="Spar - Manchester Central"/>
    <n v="2"/>
    <n v="82.56"/>
    <n v="41.28"/>
    <n v="33"/>
  </r>
  <r>
    <d v="2024-10-01T00:00:00"/>
    <x v="3"/>
    <s v="Spar - Birmingham Bull"/>
    <n v="2"/>
    <n v="65.069999999999993"/>
    <n v="32.54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00B0A-BA44-41EB-94DE-4F5B8A888E1E}" name="SPAR Q4 Store Revenu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PAR Stores">
  <location ref="B17:C28" firstHeaderRow="1" firstDataRow="1" firstDataCol="1"/>
  <pivotFields count="7">
    <pivotField numFmtId="166" showAll="0"/>
    <pivotField showAll="0"/>
    <pivotField axis="axisRow" showAll="0">
      <items count="11">
        <item x="3"/>
        <item x="9"/>
        <item x="8"/>
        <item x="1"/>
        <item x="0"/>
        <item x="5"/>
        <item x="7"/>
        <item x="4"/>
        <item x="2"/>
        <item x="6"/>
        <item t="default"/>
      </items>
    </pivotField>
    <pivotField showAll="0"/>
    <pivotField dataField="1" numFmtId="164" showAll="0"/>
    <pivotField numFmtId="164"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Q4 Total Revenue" fld="4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416A7-289C-4709-830D-81654DA32B24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>
  <location ref="I24:M31" firstHeaderRow="0" firstDataRow="1" firstDataCol="1"/>
  <pivotFields count="7">
    <pivotField numFmtId="17" showAll="0"/>
    <pivotField axis="axisRow" showAll="0">
      <items count="7">
        <item x="4"/>
        <item x="3"/>
        <item x="5"/>
        <item x="0"/>
        <item x="2"/>
        <item x="1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3" baseField="1" baseItem="0" numFmtId="1"/>
    <dataField name="Total Revenue" fld="4" baseField="1" baseItem="0" numFmtId="164"/>
    <dataField name="Avg Order Value" fld="5" subtotal="average" baseField="1" baseItem="0" numFmtId="164"/>
    <dataField name="Avg Delivery Time" fld="6" subtotal="average" baseField="1" baseItem="0" numFmtId="2"/>
  </dataFields>
  <formats count="10">
    <format dxfId="4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field="1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4587F-FDFC-40AD-9CD6-CC4DCE956506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>
  <location ref="O24:P31" firstHeaderRow="1" firstDataRow="1" firstDataCol="1"/>
  <pivotFields count="7">
    <pivotField numFmtId="17" showAll="0"/>
    <pivotField axis="axisRow" showAll="0">
      <items count="7">
        <item x="4"/>
        <item x="3"/>
        <item x="5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Revenue" fld="4" baseField="1" baseItem="0" numFmtId="164"/>
  </dataFields>
  <formats count="4">
    <format dxfId="50">
      <pivotArea field="1" type="button" dataOnly="0" labelOnly="1" outline="0" axis="axisRow" fieldPosition="0"/>
    </format>
    <format dxfId="49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C70C744-4627-4FF0-A8A5-CBAE7D912CB9}" autoFormatId="16" applyNumberFormats="0" applyBorderFormats="0" applyFontFormats="0" applyPatternFormats="0" applyAlignmentFormats="0" applyWidthHeightFormats="0">
  <queryTableRefresh nextId="27">
    <queryTableFields count="13">
      <queryTableField id="14" name="Metric Scope" tableColumnId="1"/>
      <queryTableField id="15" name="Q3 Revenue" tableColumnId="2"/>
      <queryTableField id="16" name="Q4 Revenue" tableColumnId="3"/>
      <queryTableField id="17" name="Q3 Orders" tableColumnId="4"/>
      <queryTableField id="18" name="Q4 Orders" tableColumnId="5"/>
      <queryTableField id="19" name="Q3 New Customers" tableColumnId="6"/>
      <queryTableField id="20" name="Q4 New Customers" tableColumnId="7"/>
      <queryTableField id="21" name="Q3 Avg Delivery (Mins)" tableColumnId="8"/>
      <queryTableField id="22" name="Q4 Avg Delivery (Mins)" tableColumnId="9"/>
      <queryTableField id="23" name="Revenue Growth" tableColumnId="10"/>
      <queryTableField id="24" name="Order Growth" tableColumnId="11"/>
      <queryTableField id="25" name="New Customer Growth" tableColumnId="12"/>
      <queryTableField id="26" name="Delivery Time Chang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3DBDDF6-D9F5-4FA8-BCDA-870907D0A561}" autoFormatId="16" applyNumberFormats="0" applyBorderFormats="0" applyFontFormats="0" applyPatternFormats="0" applyAlignmentFormats="0" applyWidthHeightFormats="0">
  <queryTableRefresh nextId="8">
    <queryTableFields count="7">
      <queryTableField id="1" name="Month" tableColumnId="1"/>
      <queryTableField id="2" name="Region" tableColumnId="2"/>
      <queryTableField id="3" name="Store" tableColumnId="3"/>
      <queryTableField id="4" name="Total Orders" tableColumnId="4"/>
      <queryTableField id="5" name="Revenue" tableColumnId="5"/>
      <queryTableField id="6" name="AOV" tableColumnId="6"/>
      <queryTableField id="7" name="Avg Delivery Time (Mins)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FE649A7-4D9E-45CF-800B-EE8F5AFF6667}" autoFormatId="16" applyNumberFormats="0" applyBorderFormats="0" applyFontFormats="0" applyPatternFormats="0" applyAlignmentFormats="0" applyWidthHeightFormats="0">
  <queryTableRefresh nextId="10">
    <queryTableFields count="5">
      <queryTableField id="1" name="region" tableColumnId="1"/>
      <queryTableField id="6" name="Total Orders" tableColumnId="2"/>
      <queryTableField id="7" name="Total Customers" tableColumnId="3"/>
      <queryTableField id="8" name="AOV" tableColumnId="4"/>
      <queryTableField id="9" name="Orders per Customer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910F46-A9A0-4738-A0B8-87C4B102311B}" autoFormatId="16" applyNumberFormats="0" applyBorderFormats="0" applyFontFormats="0" applyPatternFormats="0" applyAlignmentFormats="0" applyWidthHeightFormats="0">
  <queryTableRefresh nextId="9">
    <queryTableFields count="4">
      <queryTableField id="5" name="Delivery Speed" tableColumnId="1"/>
      <queryTableField id="6" name="Total Customers" tableColumnId="2"/>
      <queryTableField id="7" name="Retained Customers" tableColumnId="3"/>
      <queryTableField id="8" name="Retention 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79A9E8-2E3F-4DD0-A16E-D33A470B22DF}" autoFormatId="16" applyNumberFormats="0" applyBorderFormats="0" applyFontFormats="0" applyPatternFormats="0" applyAlignmentFormats="0" applyWidthHeightFormats="0">
  <queryTableRefresh nextId="17">
    <queryTableFields count="8">
      <queryTableField id="9" name="Month" tableColumnId="1"/>
      <queryTableField id="10" name="Total Order" tableColumnId="2"/>
      <queryTableField id="11" name="Total Revenue" tableColumnId="3"/>
      <queryTableField id="12" name="AOV" tableColumnId="4"/>
      <queryTableField id="13" name="Revenue Growth" tableColumnId="5"/>
      <queryTableField id="14" name="Order Growth" tableColumnId="6"/>
      <queryTableField id="15" name="AOV Growth" tableColumnId="7"/>
      <queryTableField id="16" name="Growth Driv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F8A4E1-3E9D-4249-AB54-A2670E736A2E}" name="overview_results" displayName="overview_results" ref="A47:M48" tableType="queryTable" totalsRowShown="0" headerRowDxfId="52" dataDxfId="51" headerRowCellStyle="Percent" dataCellStyle="Percent">
  <autoFilter ref="A47:M48" xr:uid="{65F8A4E1-3E9D-4249-AB54-A2670E736A2E}"/>
  <tableColumns count="13">
    <tableColumn id="1" xr3:uid="{EEB34A92-F015-4CBC-AF27-408F9721F233}" uniqueName="1" name="Metric Scope" queryTableFieldId="14" dataDxfId="24" dataCellStyle="Percent"/>
    <tableColumn id="2" xr3:uid="{C60E336C-D026-4967-B9B3-583E329BFBD2}" uniqueName="2" name="Q3 Revenue" queryTableFieldId="15" dataDxfId="23" dataCellStyle="Percent"/>
    <tableColumn id="3" xr3:uid="{3BABE543-1966-48D8-A194-9E58FC4A7880}" uniqueName="3" name="Q4 Revenue" queryTableFieldId="16" dataDxfId="22" dataCellStyle="Percent"/>
    <tableColumn id="4" xr3:uid="{81CE5E74-BD0F-447D-8799-126919419B65}" uniqueName="4" name="Q3 Orders" queryTableFieldId="17" dataCellStyle="Percent"/>
    <tableColumn id="5" xr3:uid="{757DC2BA-7290-47CB-995A-F55E9773F013}" uniqueName="5" name="Q4 Orders" queryTableFieldId="18" dataCellStyle="Percent"/>
    <tableColumn id="6" xr3:uid="{F37A5865-627E-4B9D-834A-26A4EEB44FB7}" uniqueName="6" name="Q3 New Customers" queryTableFieldId="19" dataCellStyle="Percent"/>
    <tableColumn id="7" xr3:uid="{061110B4-E613-422A-A47C-13CC7887245E}" uniqueName="7" name="Q4 New Customers" queryTableFieldId="20" dataCellStyle="Percent"/>
    <tableColumn id="8" xr3:uid="{0251010E-DAAD-4781-A6D8-A16C95822EC0}" uniqueName="8" name="Q3 Avg Delivery (Mins)" queryTableFieldId="21" dataCellStyle="Percent"/>
    <tableColumn id="9" xr3:uid="{D8BAAA51-234C-4495-B5B3-C187D2F291F2}" uniqueName="9" name="Q4 Avg Delivery (Mins)" queryTableFieldId="22" dataCellStyle="Percent"/>
    <tableColumn id="10" xr3:uid="{75350D1A-FD68-4125-9092-091462168A7A}" uniqueName="10" name="Revenue Growth" queryTableFieldId="23" dataCellStyle="Percent"/>
    <tableColumn id="11" xr3:uid="{D9963FC9-36A9-401F-8761-EA5C09843E45}" uniqueName="11" name="Order Growth" queryTableFieldId="24" dataCellStyle="Percent"/>
    <tableColumn id="12" xr3:uid="{B2C6B372-9340-469A-8004-3BD059ABB3E1}" uniqueName="12" name="New Customer Growth" queryTableFieldId="25" dataCellStyle="Percent"/>
    <tableColumn id="13" xr3:uid="{4DB7DB5A-6A5F-4AD0-94DC-F969DD82A4E8}" uniqueName="13" name="Delivery Time Change" queryTableFieldId="26" dataCellStyle="Perc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1B552-712A-4B7D-A59F-BA2DECE0E667}" name="spar_performance_results" displayName="spar_performance_results" ref="A1:G31" tableType="queryTable" totalsRowShown="0">
  <autoFilter ref="A1:G31" xr:uid="{B801B552-712A-4B7D-A59F-BA2DECE0E667}"/>
  <tableColumns count="7">
    <tableColumn id="1" xr3:uid="{2B921D8B-EE53-4070-BB40-A5BC4B08653C}" uniqueName="1" name="Month" queryTableFieldId="1" dataDxfId="38"/>
    <tableColumn id="2" xr3:uid="{7BCFF1AE-6AA0-4A04-AAD5-4764BC231BA7}" uniqueName="2" name="Region" queryTableFieldId="2" dataDxfId="37"/>
    <tableColumn id="3" xr3:uid="{2432AAAA-17C8-4D82-A5F6-66A57472485E}" uniqueName="3" name="Store" queryTableFieldId="3" dataDxfId="36"/>
    <tableColumn id="4" xr3:uid="{9FC07457-0384-48A5-B3B6-ED9621BC9628}" uniqueName="4" name="Total Orders" queryTableFieldId="4" dataDxfId="21"/>
    <tableColumn id="5" xr3:uid="{A8326AC5-55B6-405A-8206-FEBC28D1F086}" uniqueName="5" name="Revenue" queryTableFieldId="5" dataDxfId="20"/>
    <tableColumn id="6" xr3:uid="{04F76DA6-8F11-4F69-872C-90E5A25DD085}" uniqueName="6" name="AOV" queryTableFieldId="6" dataDxfId="19" dataCellStyle="Currency"/>
    <tableColumn id="7" xr3:uid="{DC67922C-5E0C-4C76-8A6C-401B28AEF373}" uniqueName="7" name="Avg Delivery Time (Mins)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BF1DEF-0C40-435A-8EA8-3135DE1B5485}" name="premier_aov_results" displayName="premier_aov_results" ref="D2:H8" tableType="queryTable" totalsRowShown="0" headerRowDxfId="35" dataDxfId="34">
  <autoFilter ref="D2:H8" xr:uid="{AFBF1DEF-0C40-435A-8EA8-3135DE1B5485}"/>
  <sortState xmlns:xlrd2="http://schemas.microsoft.com/office/spreadsheetml/2017/richdata2" ref="D3:H8">
    <sortCondition ref="D2:D8"/>
  </sortState>
  <tableColumns count="5">
    <tableColumn id="1" xr3:uid="{080070CE-593D-49DC-82E8-D3BE035982AE}" uniqueName="1" name="Region" queryTableFieldId="1" dataDxfId="33"/>
    <tableColumn id="2" xr3:uid="{2918BE7C-0EB2-4E79-AF7D-C62BBD7160B5}" uniqueName="2" name="Total Orders" queryTableFieldId="6"/>
    <tableColumn id="3" xr3:uid="{EC360F60-9A51-448B-B415-76440C9E8F46}" uniqueName="3" name="Total Customers" queryTableFieldId="7"/>
    <tableColumn id="4" xr3:uid="{F844507E-7C14-4A95-B83F-D96CCF4E2D8F}" uniqueName="4" name="AOV" queryTableFieldId="8" dataDxfId="32"/>
    <tableColumn id="5" xr3:uid="{03B46812-5755-4038-A9DD-900A33F87277}" uniqueName="5" name="Orders per Customer" queryTableFieldId="9"/>
  </tableColumns>
  <tableStyleInfo name="Table Style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C34C99-AD81-4ADE-BB02-3CB6649E5692}" name="delivery_retention_results_1" displayName="delivery_retention_results_1" ref="C2:F5" tableType="queryTable" totalsRowShown="0">
  <autoFilter ref="C2:F5" xr:uid="{12C34C99-AD81-4ADE-BB02-3CB6649E5692}"/>
  <tableColumns count="4">
    <tableColumn id="1" xr3:uid="{3C9B56F1-1933-4C44-837B-27D7055E9ADC}" uniqueName="1" name="Delivery Speed" queryTableFieldId="5" dataDxfId="31"/>
    <tableColumn id="2" xr3:uid="{149533E1-36E3-427F-9E6D-8F9FEE8D8AEF}" uniqueName="2" name="Total Customers" queryTableFieldId="6"/>
    <tableColumn id="3" xr3:uid="{153E1013-0DA5-4AD6-9BFB-293D69829C04}" uniqueName="3" name="Retained Customers" queryTableFieldId="7"/>
    <tableColumn id="4" xr3:uid="{3F0BC119-A48E-4B34-BD70-A0E07B34D9F2}" uniqueName="4" name="Retention Rate" queryTableFieldId="8" dataCellStyle="Perc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0861C2C-FC9F-4AE5-AD94-CAAC07B0B0B0}" name="growth_results" displayName="growth_results" ref="D2:K8" tableType="queryTable" totalsRowShown="0" headerRowDxfId="30" dataDxfId="29">
  <autoFilter ref="D2:K8" xr:uid="{D0861C2C-FC9F-4AE5-AD94-CAAC07B0B0B0}"/>
  <tableColumns count="8">
    <tableColumn id="1" xr3:uid="{4EB3BE36-7407-4C69-9C1E-9E5F5FE69209}" uniqueName="1" name="Month" queryTableFieldId="9" dataDxfId="28"/>
    <tableColumn id="2" xr3:uid="{1109ACFC-2007-478D-BAFB-4D35016C69F9}" uniqueName="2" name="Total Orders" queryTableFieldId="10"/>
    <tableColumn id="3" xr3:uid="{B389CC13-9478-45A5-AB19-F72BE7886809}" uniqueName="3" name="Total Revenue" queryTableFieldId="11" dataDxfId="27"/>
    <tableColumn id="4" xr3:uid="{3CBF3F35-6811-46A9-B3E4-48343CE738D5}" uniqueName="4" name="AOV" queryTableFieldId="12" dataDxfId="26"/>
    <tableColumn id="5" xr3:uid="{6D532029-6F03-4A5D-A4D7-8AF8E2397C6E}" uniqueName="5" name="Revenue Growth" queryTableFieldId="13" dataCellStyle="Percent"/>
    <tableColumn id="6" xr3:uid="{2E2CAA38-834F-403A-ACE2-D82CE8B045DB}" uniqueName="6" name="Order Growth" queryTableFieldId="14" dataCellStyle="Percent"/>
    <tableColumn id="7" xr3:uid="{2BA5F068-299C-4A24-902F-AD7257F700F7}" uniqueName="7" name="AOV Growth" queryTableFieldId="15" dataCellStyle="Percent"/>
    <tableColumn id="8" xr3:uid="{BE9B3B01-6F7A-4392-BA79-C4933FC7F1A2}" uniqueName="8" name="Growth Driver" queryTableFieldId="16" data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FA7A-2551-4B18-B074-9EEE4C3031EF}">
  <dimension ref="A1:AD55"/>
  <sheetViews>
    <sheetView showGridLines="0" tabSelected="1" zoomScale="96" zoomScaleNormal="96" workbookViewId="0">
      <selection activeCell="G15" sqref="G15"/>
    </sheetView>
  </sheetViews>
  <sheetFormatPr defaultRowHeight="14.4" x14ac:dyDescent="0.3"/>
  <cols>
    <col min="1" max="1" width="20.109375" bestFit="1" customWidth="1"/>
    <col min="2" max="2" width="13.88671875" bestFit="1" customWidth="1"/>
    <col min="3" max="3" width="15.88671875" customWidth="1"/>
    <col min="4" max="4" width="12" bestFit="1" customWidth="1"/>
    <col min="5" max="5" width="13.109375" customWidth="1"/>
    <col min="6" max="7" width="20" bestFit="1" customWidth="1"/>
    <col min="8" max="9" width="23.44140625" bestFit="1" customWidth="1"/>
    <col min="10" max="10" width="18" bestFit="1" customWidth="1"/>
    <col min="11" max="11" width="15.21875" bestFit="1" customWidth="1"/>
    <col min="12" max="12" width="23.33203125" bestFit="1" customWidth="1"/>
    <col min="13" max="13" width="22.44140625" bestFit="1" customWidth="1"/>
    <col min="14" max="14" width="20.109375" bestFit="1" customWidth="1"/>
    <col min="15" max="16" width="13.77734375" bestFit="1" customWidth="1"/>
    <col min="17" max="18" width="12.109375" bestFit="1" customWidth="1"/>
    <col min="19" max="20" width="20.5546875" bestFit="1" customWidth="1"/>
    <col min="21" max="22" width="23.109375" bestFit="1" customWidth="1"/>
    <col min="23" max="23" width="21.88671875" bestFit="1" customWidth="1"/>
    <col min="24" max="24" width="19.33203125" bestFit="1" customWidth="1"/>
    <col min="25" max="25" width="27.77734375" bestFit="1" customWidth="1"/>
    <col min="26" max="26" width="28.21875" bestFit="1" customWidth="1"/>
    <col min="30" max="30" width="11.6640625" style="1" customWidth="1"/>
    <col min="31" max="31" width="12.6640625" customWidth="1"/>
    <col min="32" max="32" width="19.44140625" customWidth="1"/>
    <col min="33" max="33" width="19.5546875" customWidth="1"/>
    <col min="34" max="34" width="16.6640625" customWidth="1"/>
    <col min="35" max="35" width="16.88671875" customWidth="1"/>
    <col min="36" max="36" width="17.33203125" customWidth="1"/>
    <col min="37" max="37" width="15" customWidth="1"/>
    <col min="38" max="38" width="22.5546875" customWidth="1"/>
    <col min="39" max="39" width="21.88671875" customWidth="1"/>
  </cols>
  <sheetData>
    <row r="1" spans="2:4" x14ac:dyDescent="0.3">
      <c r="C1" s="1"/>
    </row>
    <row r="2" spans="2:4" x14ac:dyDescent="0.3">
      <c r="C2" s="1"/>
    </row>
    <row r="3" spans="2:4" x14ac:dyDescent="0.3">
      <c r="C3" s="1"/>
    </row>
    <row r="4" spans="2:4" x14ac:dyDescent="0.3">
      <c r="D4" s="1"/>
    </row>
    <row r="5" spans="2:4" x14ac:dyDescent="0.3">
      <c r="D5" s="1"/>
    </row>
    <row r="6" spans="2:4" x14ac:dyDescent="0.3">
      <c r="C6" s="1"/>
    </row>
    <row r="8" spans="2:4" x14ac:dyDescent="0.3">
      <c r="D8" s="1"/>
    </row>
    <row r="9" spans="2:4" x14ac:dyDescent="0.3">
      <c r="B9" s="1"/>
    </row>
    <row r="10" spans="2:4" x14ac:dyDescent="0.3">
      <c r="B10" s="1"/>
    </row>
    <row r="11" spans="2:4" x14ac:dyDescent="0.3">
      <c r="C11" s="1"/>
    </row>
    <row r="13" spans="2:4" x14ac:dyDescent="0.3">
      <c r="B13" s="1"/>
    </row>
    <row r="14" spans="2:4" x14ac:dyDescent="0.3">
      <c r="B14" s="1"/>
    </row>
    <row r="17" spans="2:3" x14ac:dyDescent="0.3">
      <c r="B17" s="2" t="s">
        <v>0</v>
      </c>
      <c r="C17" t="s">
        <v>1</v>
      </c>
    </row>
    <row r="18" spans="2:3" x14ac:dyDescent="0.3">
      <c r="B18" s="3" t="s">
        <v>2</v>
      </c>
      <c r="C18" s="1">
        <v>688.98</v>
      </c>
    </row>
    <row r="19" spans="2:3" x14ac:dyDescent="0.3">
      <c r="B19" s="3" t="s">
        <v>3</v>
      </c>
      <c r="C19" s="1">
        <v>243.14999999999998</v>
      </c>
    </row>
    <row r="20" spans="2:3" x14ac:dyDescent="0.3">
      <c r="B20" s="3" t="s">
        <v>4</v>
      </c>
      <c r="C20" s="1">
        <v>459.59000000000003</v>
      </c>
    </row>
    <row r="21" spans="2:3" x14ac:dyDescent="0.3">
      <c r="B21" s="3" t="s">
        <v>5</v>
      </c>
      <c r="C21" s="1">
        <v>757.11</v>
      </c>
    </row>
    <row r="22" spans="2:3" x14ac:dyDescent="0.3">
      <c r="B22" s="3" t="s">
        <v>6</v>
      </c>
      <c r="C22" s="1">
        <v>725.87</v>
      </c>
    </row>
    <row r="23" spans="2:3" x14ac:dyDescent="0.3">
      <c r="B23" s="3" t="s">
        <v>7</v>
      </c>
      <c r="C23" s="1">
        <v>566.04</v>
      </c>
    </row>
    <row r="24" spans="2:3" x14ac:dyDescent="0.3">
      <c r="B24" s="3" t="s">
        <v>8</v>
      </c>
      <c r="C24" s="1">
        <v>427.41999999999996</v>
      </c>
    </row>
    <row r="25" spans="2:3" x14ac:dyDescent="0.3">
      <c r="B25" s="3" t="s">
        <v>9</v>
      </c>
      <c r="C25" s="1">
        <v>543.70999999999992</v>
      </c>
    </row>
    <row r="26" spans="2:3" x14ac:dyDescent="0.3">
      <c r="B26" s="3" t="s">
        <v>10</v>
      </c>
      <c r="C26" s="1">
        <v>624.79</v>
      </c>
    </row>
    <row r="27" spans="2:3" x14ac:dyDescent="0.3">
      <c r="B27" s="3" t="s">
        <v>11</v>
      </c>
      <c r="C27" s="1">
        <v>323.48</v>
      </c>
    </row>
    <row r="28" spans="2:3" x14ac:dyDescent="0.3">
      <c r="B28" s="3" t="s">
        <v>12</v>
      </c>
      <c r="C28" s="1">
        <v>5360.1399999999994</v>
      </c>
    </row>
    <row r="29" spans="2:3" x14ac:dyDescent="0.3">
      <c r="C29" s="1"/>
    </row>
    <row r="30" spans="2:3" x14ac:dyDescent="0.3">
      <c r="C30" s="1"/>
    </row>
    <row r="31" spans="2:3" x14ac:dyDescent="0.3">
      <c r="C31" s="1"/>
    </row>
    <row r="32" spans="2:3" x14ac:dyDescent="0.3">
      <c r="C32" s="1"/>
    </row>
    <row r="35" spans="1:30" x14ac:dyDescent="0.3">
      <c r="C35" s="1"/>
    </row>
    <row r="36" spans="1:30" x14ac:dyDescent="0.3">
      <c r="C36" s="1"/>
    </row>
    <row r="37" spans="1:30" x14ac:dyDescent="0.3">
      <c r="C37" s="1"/>
    </row>
    <row r="38" spans="1:30" x14ac:dyDescent="0.3">
      <c r="C38" s="1"/>
    </row>
    <row r="42" spans="1:30" x14ac:dyDescent="0.3">
      <c r="C42" s="1"/>
    </row>
    <row r="43" spans="1:30" x14ac:dyDescent="0.3">
      <c r="C43" s="1"/>
    </row>
    <row r="46" spans="1:30" x14ac:dyDescent="0.3">
      <c r="C46" s="1"/>
    </row>
    <row r="47" spans="1:30" x14ac:dyDescent="0.3">
      <c r="A47" t="s">
        <v>33</v>
      </c>
      <c r="B47" s="1" t="s">
        <v>34</v>
      </c>
      <c r="C47" s="1" t="s">
        <v>35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41</v>
      </c>
      <c r="J47" s="13" t="s">
        <v>29</v>
      </c>
      <c r="K47" s="13" t="s">
        <v>30</v>
      </c>
      <c r="L47" s="13" t="s">
        <v>42</v>
      </c>
      <c r="M47" t="s">
        <v>43</v>
      </c>
      <c r="Q47" s="1"/>
      <c r="Z47" s="5"/>
      <c r="AD47"/>
    </row>
    <row r="48" spans="1:30" x14ac:dyDescent="0.3">
      <c r="A48" t="s">
        <v>26</v>
      </c>
      <c r="B48" s="1">
        <v>23904.76</v>
      </c>
      <c r="C48" s="1">
        <v>24405.01</v>
      </c>
      <c r="D48">
        <v>701</v>
      </c>
      <c r="E48">
        <v>711</v>
      </c>
      <c r="F48">
        <v>117</v>
      </c>
      <c r="G48">
        <v>63</v>
      </c>
      <c r="H48">
        <v>48</v>
      </c>
      <c r="I48">
        <v>50</v>
      </c>
      <c r="J48" s="13">
        <v>2.1000000000000001E-2</v>
      </c>
      <c r="K48" s="13">
        <v>1.4E-2</v>
      </c>
      <c r="L48" s="13">
        <v>-0.46200000000000002</v>
      </c>
      <c r="M48">
        <v>2</v>
      </c>
      <c r="Q48" s="1"/>
      <c r="Z48" s="5"/>
      <c r="AD48"/>
    </row>
    <row r="49" spans="15:30" x14ac:dyDescent="0.3">
      <c r="O49" s="1"/>
    </row>
    <row r="50" spans="15:30" x14ac:dyDescent="0.3">
      <c r="Q50" s="1"/>
    </row>
    <row r="53" spans="15:30" x14ac:dyDescent="0.3">
      <c r="X53" s="1"/>
      <c r="AD53"/>
    </row>
    <row r="54" spans="15:30" x14ac:dyDescent="0.3">
      <c r="X54" s="1"/>
      <c r="AD54"/>
    </row>
    <row r="55" spans="15:30" x14ac:dyDescent="0.3">
      <c r="X55" s="1"/>
      <c r="AD55"/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526A-B88F-490E-9354-AD471928F80A}">
  <dimension ref="A1:P31"/>
  <sheetViews>
    <sheetView showGridLines="0" zoomScaleNormal="100" workbookViewId="0">
      <pane ySplit="1" topLeftCell="A2" activePane="bottomLeft" state="frozen"/>
      <selection pane="bottomLeft" activeCell="G31" sqref="G31"/>
    </sheetView>
  </sheetViews>
  <sheetFormatPr defaultRowHeight="14.4" x14ac:dyDescent="0.3"/>
  <cols>
    <col min="1" max="1" width="10.5546875" style="19" bestFit="1" customWidth="1"/>
    <col min="2" max="2" width="10.44140625" bestFit="1" customWidth="1"/>
    <col min="3" max="3" width="14.77734375" customWidth="1"/>
    <col min="4" max="4" width="13" style="8" customWidth="1"/>
    <col min="5" max="5" width="10.5546875" style="1" bestFit="1" customWidth="1"/>
    <col min="6" max="6" width="7" style="11" customWidth="1"/>
    <col min="7" max="7" width="16.6640625" customWidth="1"/>
    <col min="8" max="8" width="3.5546875" customWidth="1"/>
    <col min="9" max="9" width="10.77734375" bestFit="1" customWidth="1"/>
    <col min="10" max="10" width="6.5546875" bestFit="1" customWidth="1"/>
    <col min="11" max="11" width="13.109375" bestFit="1" customWidth="1"/>
    <col min="12" max="12" width="14.77734375" bestFit="1" customWidth="1"/>
    <col min="13" max="13" width="16.109375" bestFit="1" customWidth="1"/>
    <col min="14" max="14" width="14.88671875" bestFit="1" customWidth="1"/>
    <col min="15" max="15" width="10.77734375" bestFit="1" customWidth="1"/>
    <col min="16" max="16" width="13.109375" bestFit="1" customWidth="1"/>
    <col min="17" max="17" width="28.77734375" bestFit="1" customWidth="1"/>
    <col min="18" max="18" width="14.88671875" bestFit="1" customWidth="1"/>
    <col min="19" max="19" width="28.77734375" bestFit="1" customWidth="1"/>
    <col min="20" max="20" width="14.88671875" bestFit="1" customWidth="1"/>
    <col min="21" max="21" width="28.77734375" bestFit="1" customWidth="1"/>
    <col min="22" max="22" width="14.88671875" bestFit="1" customWidth="1"/>
    <col min="23" max="23" width="28.77734375" bestFit="1" customWidth="1"/>
    <col min="24" max="24" width="14.88671875" bestFit="1" customWidth="1"/>
    <col min="25" max="25" width="28.77734375" bestFit="1" customWidth="1"/>
    <col min="26" max="26" width="14.88671875" bestFit="1" customWidth="1"/>
    <col min="27" max="27" width="28.77734375" bestFit="1" customWidth="1"/>
    <col min="28" max="28" width="14.88671875" bestFit="1" customWidth="1"/>
    <col min="29" max="29" width="28.77734375" bestFit="1" customWidth="1"/>
    <col min="30" max="30" width="14.88671875" bestFit="1" customWidth="1"/>
    <col min="31" max="31" width="28.77734375" bestFit="1" customWidth="1"/>
    <col min="32" max="32" width="14.88671875" bestFit="1" customWidth="1"/>
    <col min="33" max="33" width="28.77734375" bestFit="1" customWidth="1"/>
    <col min="34" max="34" width="14.88671875" bestFit="1" customWidth="1"/>
    <col min="35" max="35" width="28.77734375" bestFit="1" customWidth="1"/>
    <col min="36" max="36" width="14.88671875" bestFit="1" customWidth="1"/>
    <col min="37" max="37" width="28.77734375" bestFit="1" customWidth="1"/>
    <col min="38" max="38" width="14.88671875" bestFit="1" customWidth="1"/>
    <col min="39" max="39" width="28.77734375" bestFit="1" customWidth="1"/>
    <col min="40" max="40" width="14.88671875" bestFit="1" customWidth="1"/>
    <col min="41" max="41" width="28.77734375" bestFit="1" customWidth="1"/>
    <col min="42" max="42" width="14.88671875" bestFit="1" customWidth="1"/>
    <col min="43" max="43" width="28.77734375" bestFit="1" customWidth="1"/>
    <col min="44" max="44" width="14.88671875" bestFit="1" customWidth="1"/>
    <col min="45" max="45" width="28.77734375" bestFit="1" customWidth="1"/>
    <col min="46" max="46" width="14.88671875" bestFit="1" customWidth="1"/>
    <col min="47" max="47" width="28.77734375" bestFit="1" customWidth="1"/>
    <col min="48" max="48" width="14.88671875" bestFit="1" customWidth="1"/>
    <col min="49" max="49" width="28.77734375" bestFit="1" customWidth="1"/>
    <col min="50" max="50" width="14.88671875" bestFit="1" customWidth="1"/>
    <col min="51" max="51" width="28.77734375" bestFit="1" customWidth="1"/>
    <col min="52" max="52" width="14.88671875" bestFit="1" customWidth="1"/>
    <col min="53" max="53" width="28.77734375" bestFit="1" customWidth="1"/>
    <col min="54" max="54" width="14.88671875" bestFit="1" customWidth="1"/>
    <col min="55" max="55" width="28.77734375" bestFit="1" customWidth="1"/>
    <col min="56" max="56" width="14.88671875" bestFit="1" customWidth="1"/>
    <col min="57" max="57" width="28.77734375" bestFit="1" customWidth="1"/>
    <col min="58" max="58" width="14.88671875" bestFit="1" customWidth="1"/>
    <col min="59" max="59" width="28.77734375" bestFit="1" customWidth="1"/>
    <col min="60" max="60" width="14.88671875" bestFit="1" customWidth="1"/>
    <col min="61" max="61" width="28.77734375" bestFit="1" customWidth="1"/>
    <col min="62" max="62" width="14.88671875" bestFit="1" customWidth="1"/>
    <col min="63" max="63" width="28.77734375" bestFit="1" customWidth="1"/>
    <col min="64" max="64" width="14.88671875" bestFit="1" customWidth="1"/>
    <col min="65" max="65" width="28.77734375" bestFit="1" customWidth="1"/>
    <col min="66" max="66" width="14.88671875" bestFit="1" customWidth="1"/>
    <col min="67" max="67" width="28.77734375" bestFit="1" customWidth="1"/>
    <col min="68" max="68" width="19.6640625" bestFit="1" customWidth="1"/>
    <col min="69" max="69" width="33.6640625" bestFit="1" customWidth="1"/>
    <col min="70" max="70" width="8" bestFit="1" customWidth="1"/>
    <col min="71" max="72" width="10.21875" bestFit="1" customWidth="1"/>
    <col min="73" max="73" width="9" bestFit="1" customWidth="1"/>
    <col min="74" max="74" width="10.21875" bestFit="1" customWidth="1"/>
    <col min="75" max="75" width="11.21875" bestFit="1" customWidth="1"/>
    <col min="76" max="76" width="9" bestFit="1" customWidth="1"/>
    <col min="77" max="77" width="10.21875" bestFit="1" customWidth="1"/>
    <col min="78" max="78" width="11.21875" bestFit="1" customWidth="1"/>
    <col min="79" max="79" width="9" bestFit="1" customWidth="1"/>
    <col min="80" max="80" width="10.21875" bestFit="1" customWidth="1"/>
    <col min="81" max="81" width="11.21875" bestFit="1" customWidth="1"/>
    <col min="82" max="82" width="9" bestFit="1" customWidth="1"/>
    <col min="83" max="83" width="10.21875" bestFit="1" customWidth="1"/>
    <col min="84" max="84" width="11.21875" bestFit="1" customWidth="1"/>
    <col min="85" max="85" width="9" bestFit="1" customWidth="1"/>
    <col min="86" max="86" width="10.21875" bestFit="1" customWidth="1"/>
    <col min="87" max="87" width="11.21875" bestFit="1" customWidth="1"/>
    <col min="88" max="88" width="9" bestFit="1" customWidth="1"/>
    <col min="89" max="89" width="10.21875" bestFit="1" customWidth="1"/>
    <col min="90" max="90" width="11.21875" bestFit="1" customWidth="1"/>
    <col min="91" max="91" width="9" bestFit="1" customWidth="1"/>
    <col min="92" max="92" width="10.21875" bestFit="1" customWidth="1"/>
    <col min="93" max="93" width="11.21875" bestFit="1" customWidth="1"/>
    <col min="94" max="94" width="9" bestFit="1" customWidth="1"/>
    <col min="95" max="95" width="10.21875" bestFit="1" customWidth="1"/>
    <col min="96" max="96" width="11.21875" bestFit="1" customWidth="1"/>
    <col min="97" max="97" width="9" bestFit="1" customWidth="1"/>
    <col min="98" max="98" width="10.21875" bestFit="1" customWidth="1"/>
    <col min="99" max="99" width="11.21875" bestFit="1" customWidth="1"/>
    <col min="100" max="100" width="10.77734375" bestFit="1" customWidth="1"/>
  </cols>
  <sheetData>
    <row r="1" spans="1:7" x14ac:dyDescent="0.3">
      <c r="A1" s="19" t="s">
        <v>27</v>
      </c>
      <c r="B1" t="s">
        <v>13</v>
      </c>
      <c r="C1" t="s">
        <v>50</v>
      </c>
      <c r="D1" s="8" t="s">
        <v>48</v>
      </c>
      <c r="E1" s="1" t="s">
        <v>21</v>
      </c>
      <c r="F1" s="11" t="s">
        <v>14</v>
      </c>
      <c r="G1" t="s">
        <v>51</v>
      </c>
    </row>
    <row r="2" spans="1:7" x14ac:dyDescent="0.3">
      <c r="A2" s="19">
        <v>45627</v>
      </c>
      <c r="B2" t="s">
        <v>15</v>
      </c>
      <c r="C2" t="s">
        <v>2</v>
      </c>
      <c r="D2">
        <v>8</v>
      </c>
      <c r="E2" s="1">
        <v>274.77</v>
      </c>
      <c r="F2" s="1">
        <v>34.35</v>
      </c>
      <c r="G2">
        <v>46</v>
      </c>
    </row>
    <row r="3" spans="1:7" x14ac:dyDescent="0.3">
      <c r="A3" s="19">
        <v>45627</v>
      </c>
      <c r="B3" t="s">
        <v>16</v>
      </c>
      <c r="C3" t="s">
        <v>8</v>
      </c>
      <c r="D3">
        <v>6</v>
      </c>
      <c r="E3" s="1">
        <v>186.67</v>
      </c>
      <c r="F3" s="1">
        <v>31.11</v>
      </c>
      <c r="G3">
        <v>32</v>
      </c>
    </row>
    <row r="4" spans="1:7" x14ac:dyDescent="0.3">
      <c r="A4" s="19">
        <v>45627</v>
      </c>
      <c r="B4" t="s">
        <v>15</v>
      </c>
      <c r="C4" t="s">
        <v>5</v>
      </c>
      <c r="D4">
        <v>5</v>
      </c>
      <c r="E4" s="1">
        <v>167.49</v>
      </c>
      <c r="F4" s="1">
        <v>33.5</v>
      </c>
      <c r="G4">
        <v>32</v>
      </c>
    </row>
    <row r="5" spans="1:7" x14ac:dyDescent="0.3">
      <c r="A5" s="19">
        <v>45627</v>
      </c>
      <c r="B5" t="s">
        <v>15</v>
      </c>
      <c r="C5" t="s">
        <v>7</v>
      </c>
      <c r="D5">
        <v>5</v>
      </c>
      <c r="E5" s="1">
        <v>166.2</v>
      </c>
      <c r="F5" s="1">
        <v>33.24</v>
      </c>
      <c r="G5">
        <v>31</v>
      </c>
    </row>
    <row r="6" spans="1:7" x14ac:dyDescent="0.3">
      <c r="A6" s="19">
        <v>45627</v>
      </c>
      <c r="B6" t="s">
        <v>17</v>
      </c>
      <c r="C6" t="s">
        <v>4</v>
      </c>
      <c r="D6">
        <v>6</v>
      </c>
      <c r="E6" s="1">
        <v>149.22</v>
      </c>
      <c r="F6" s="1">
        <v>24.87</v>
      </c>
      <c r="G6">
        <v>73</v>
      </c>
    </row>
    <row r="7" spans="1:7" x14ac:dyDescent="0.3">
      <c r="A7" s="19">
        <v>45627</v>
      </c>
      <c r="B7" t="s">
        <v>15</v>
      </c>
      <c r="C7" t="s">
        <v>6</v>
      </c>
      <c r="D7">
        <v>3</v>
      </c>
      <c r="E7" s="1">
        <v>121.49</v>
      </c>
      <c r="F7" s="1">
        <v>40.5</v>
      </c>
      <c r="G7">
        <v>62</v>
      </c>
    </row>
    <row r="8" spans="1:7" x14ac:dyDescent="0.3">
      <c r="A8" s="19">
        <v>45627</v>
      </c>
      <c r="B8" t="s">
        <v>18</v>
      </c>
      <c r="C8" t="s">
        <v>3</v>
      </c>
      <c r="D8">
        <v>3</v>
      </c>
      <c r="E8" s="1">
        <v>114.7</v>
      </c>
      <c r="F8" s="1">
        <v>38.229999999999997</v>
      </c>
      <c r="G8">
        <v>30</v>
      </c>
    </row>
    <row r="9" spans="1:7" x14ac:dyDescent="0.3">
      <c r="A9" s="19">
        <v>45627</v>
      </c>
      <c r="B9" t="s">
        <v>19</v>
      </c>
      <c r="C9" t="s">
        <v>10</v>
      </c>
      <c r="D9">
        <v>2</v>
      </c>
      <c r="E9" s="1">
        <v>97.41</v>
      </c>
      <c r="F9" s="1">
        <v>48.71</v>
      </c>
      <c r="G9">
        <v>39</v>
      </c>
    </row>
    <row r="10" spans="1:7" x14ac:dyDescent="0.3">
      <c r="A10" s="19">
        <v>45627</v>
      </c>
      <c r="B10" t="s">
        <v>20</v>
      </c>
      <c r="C10" t="s">
        <v>9</v>
      </c>
      <c r="D10">
        <v>2</v>
      </c>
      <c r="E10" s="1">
        <v>71.91</v>
      </c>
      <c r="F10" s="1">
        <v>35.96</v>
      </c>
      <c r="G10">
        <v>40</v>
      </c>
    </row>
    <row r="11" spans="1:7" x14ac:dyDescent="0.3">
      <c r="A11" s="19">
        <v>45627</v>
      </c>
      <c r="B11" t="s">
        <v>20</v>
      </c>
      <c r="C11" t="s">
        <v>11</v>
      </c>
      <c r="D11">
        <v>1</v>
      </c>
      <c r="E11" s="1">
        <v>54.18</v>
      </c>
      <c r="F11" s="1">
        <v>54.18</v>
      </c>
      <c r="G11">
        <v>95</v>
      </c>
    </row>
    <row r="12" spans="1:7" x14ac:dyDescent="0.3">
      <c r="A12" s="19">
        <v>45597</v>
      </c>
      <c r="B12" t="s">
        <v>15</v>
      </c>
      <c r="C12" t="s">
        <v>7</v>
      </c>
      <c r="D12">
        <v>6</v>
      </c>
      <c r="E12" s="1">
        <v>262.45</v>
      </c>
      <c r="F12" s="1">
        <v>43.74</v>
      </c>
      <c r="G12">
        <v>67</v>
      </c>
    </row>
    <row r="13" spans="1:7" x14ac:dyDescent="0.3">
      <c r="A13" s="19">
        <v>45597</v>
      </c>
      <c r="B13" t="s">
        <v>19</v>
      </c>
      <c r="C13" t="s">
        <v>10</v>
      </c>
      <c r="D13">
        <v>7</v>
      </c>
      <c r="E13" s="1">
        <v>250.67</v>
      </c>
      <c r="F13" s="1">
        <v>35.81</v>
      </c>
      <c r="G13">
        <v>65</v>
      </c>
    </row>
    <row r="14" spans="1:7" x14ac:dyDescent="0.3">
      <c r="A14" s="19">
        <v>45597</v>
      </c>
      <c r="B14" t="s">
        <v>15</v>
      </c>
      <c r="C14" t="s">
        <v>6</v>
      </c>
      <c r="D14">
        <v>6</v>
      </c>
      <c r="E14" s="1">
        <v>227.09</v>
      </c>
      <c r="F14" s="1">
        <v>37.85</v>
      </c>
      <c r="G14">
        <v>50</v>
      </c>
    </row>
    <row r="15" spans="1:7" x14ac:dyDescent="0.3">
      <c r="A15" s="19">
        <v>45597</v>
      </c>
      <c r="B15" t="s">
        <v>15</v>
      </c>
      <c r="C15" t="s">
        <v>5</v>
      </c>
      <c r="D15">
        <v>7</v>
      </c>
      <c r="E15" s="1">
        <v>223.6</v>
      </c>
      <c r="F15" s="1">
        <v>31.94</v>
      </c>
      <c r="G15">
        <v>54</v>
      </c>
    </row>
    <row r="16" spans="1:7" x14ac:dyDescent="0.3">
      <c r="A16" s="19">
        <v>45597</v>
      </c>
      <c r="B16" t="s">
        <v>20</v>
      </c>
      <c r="C16" t="s">
        <v>9</v>
      </c>
      <c r="D16">
        <v>5</v>
      </c>
      <c r="E16" s="1">
        <v>198.73</v>
      </c>
      <c r="F16" s="1">
        <v>39.75</v>
      </c>
      <c r="G16">
        <v>52</v>
      </c>
    </row>
    <row r="17" spans="1:16" x14ac:dyDescent="0.3">
      <c r="A17" s="19">
        <v>45597</v>
      </c>
      <c r="B17" t="s">
        <v>15</v>
      </c>
      <c r="C17" t="s">
        <v>2</v>
      </c>
      <c r="D17">
        <v>6</v>
      </c>
      <c r="E17" s="1">
        <v>190.35</v>
      </c>
      <c r="F17" s="1">
        <v>31.73</v>
      </c>
      <c r="G17">
        <v>42</v>
      </c>
    </row>
    <row r="18" spans="1:16" x14ac:dyDescent="0.3">
      <c r="A18" s="19">
        <v>45597</v>
      </c>
      <c r="B18" t="s">
        <v>20</v>
      </c>
      <c r="C18" t="s">
        <v>11</v>
      </c>
      <c r="D18">
        <v>4</v>
      </c>
      <c r="E18" s="1">
        <v>186.74</v>
      </c>
      <c r="F18" s="1">
        <v>46.69</v>
      </c>
      <c r="G18">
        <v>43</v>
      </c>
    </row>
    <row r="19" spans="1:16" x14ac:dyDescent="0.3">
      <c r="A19" s="19">
        <v>45597</v>
      </c>
      <c r="B19" t="s">
        <v>17</v>
      </c>
      <c r="C19" t="s">
        <v>4</v>
      </c>
      <c r="D19">
        <v>6</v>
      </c>
      <c r="E19" s="1">
        <v>178.25</v>
      </c>
      <c r="F19" s="1">
        <v>29.71</v>
      </c>
      <c r="G19">
        <v>56</v>
      </c>
    </row>
    <row r="20" spans="1:16" x14ac:dyDescent="0.3">
      <c r="A20" s="19">
        <v>45597</v>
      </c>
      <c r="B20" t="s">
        <v>16</v>
      </c>
      <c r="C20" t="s">
        <v>8</v>
      </c>
      <c r="D20">
        <v>4</v>
      </c>
      <c r="E20" s="1">
        <v>129.97999999999999</v>
      </c>
      <c r="F20" s="1">
        <v>32.5</v>
      </c>
      <c r="G20">
        <v>70</v>
      </c>
    </row>
    <row r="21" spans="1:16" x14ac:dyDescent="0.3">
      <c r="A21" s="19">
        <v>45597</v>
      </c>
      <c r="B21" t="s">
        <v>18</v>
      </c>
      <c r="C21" t="s">
        <v>3</v>
      </c>
      <c r="D21">
        <v>2</v>
      </c>
      <c r="E21" s="1">
        <v>63.38</v>
      </c>
      <c r="F21" s="1">
        <v>31.69</v>
      </c>
      <c r="G21">
        <v>44</v>
      </c>
    </row>
    <row r="22" spans="1:16" x14ac:dyDescent="0.3">
      <c r="A22" s="19">
        <v>45566</v>
      </c>
      <c r="B22" t="s">
        <v>15</v>
      </c>
      <c r="C22" t="s">
        <v>6</v>
      </c>
      <c r="D22">
        <v>8</v>
      </c>
      <c r="E22" s="1">
        <v>377.29</v>
      </c>
      <c r="F22" s="1">
        <v>47.16</v>
      </c>
      <c r="G22">
        <v>52</v>
      </c>
    </row>
    <row r="23" spans="1:16" x14ac:dyDescent="0.3">
      <c r="A23" s="19">
        <v>45566</v>
      </c>
      <c r="B23" t="s">
        <v>15</v>
      </c>
      <c r="C23" t="s">
        <v>5</v>
      </c>
      <c r="D23">
        <v>9</v>
      </c>
      <c r="E23" s="1">
        <v>366.02</v>
      </c>
      <c r="F23" s="1">
        <v>40.67</v>
      </c>
      <c r="G23">
        <v>52</v>
      </c>
    </row>
    <row r="24" spans="1:16" x14ac:dyDescent="0.3">
      <c r="A24" s="19">
        <v>45566</v>
      </c>
      <c r="B24" t="s">
        <v>19</v>
      </c>
      <c r="C24" t="s">
        <v>10</v>
      </c>
      <c r="D24">
        <v>7</v>
      </c>
      <c r="E24" s="1">
        <v>276.70999999999998</v>
      </c>
      <c r="F24" s="1">
        <v>39.53</v>
      </c>
      <c r="G24">
        <v>41</v>
      </c>
      <c r="I24" s="20" t="s">
        <v>13</v>
      </c>
      <c r="J24" s="21" t="s">
        <v>22</v>
      </c>
      <c r="K24" s="22" t="s">
        <v>28</v>
      </c>
      <c r="L24" s="22" t="s">
        <v>52</v>
      </c>
      <c r="M24" s="23" t="s">
        <v>53</v>
      </c>
      <c r="O24" s="20" t="s">
        <v>13</v>
      </c>
      <c r="P24" s="22" t="s">
        <v>28</v>
      </c>
    </row>
    <row r="25" spans="1:16" x14ac:dyDescent="0.3">
      <c r="A25" s="19">
        <v>45566</v>
      </c>
      <c r="B25" t="s">
        <v>20</v>
      </c>
      <c r="C25" t="s">
        <v>9</v>
      </c>
      <c r="D25">
        <v>8</v>
      </c>
      <c r="E25" s="1">
        <v>273.07</v>
      </c>
      <c r="F25" s="1">
        <v>34.130000000000003</v>
      </c>
      <c r="G25">
        <v>55</v>
      </c>
      <c r="I25" s="3" t="s">
        <v>19</v>
      </c>
      <c r="J25" s="8">
        <v>16</v>
      </c>
      <c r="K25" s="1">
        <v>624.79</v>
      </c>
      <c r="L25" s="1">
        <v>41.35</v>
      </c>
      <c r="M25" s="5">
        <v>48.333333333333336</v>
      </c>
      <c r="O25" s="3" t="s">
        <v>19</v>
      </c>
      <c r="P25" s="1">
        <v>624.79</v>
      </c>
    </row>
    <row r="26" spans="1:16" x14ac:dyDescent="0.3">
      <c r="A26" s="19">
        <v>45566</v>
      </c>
      <c r="B26" t="s">
        <v>15</v>
      </c>
      <c r="C26" t="s">
        <v>2</v>
      </c>
      <c r="D26">
        <v>6</v>
      </c>
      <c r="E26" s="1">
        <v>223.86</v>
      </c>
      <c r="F26" s="1">
        <v>37.31</v>
      </c>
      <c r="G26">
        <v>36</v>
      </c>
      <c r="I26" s="3" t="s">
        <v>18</v>
      </c>
      <c r="J26" s="8">
        <v>7</v>
      </c>
      <c r="K26" s="1">
        <v>243.15</v>
      </c>
      <c r="L26" s="1">
        <v>34.153333333333336</v>
      </c>
      <c r="M26" s="5">
        <v>58.666666666666664</v>
      </c>
      <c r="O26" s="3" t="s">
        <v>18</v>
      </c>
      <c r="P26" s="1">
        <v>243.15</v>
      </c>
    </row>
    <row r="27" spans="1:16" x14ac:dyDescent="0.3">
      <c r="A27" s="19">
        <v>45566</v>
      </c>
      <c r="B27" t="s">
        <v>15</v>
      </c>
      <c r="C27" t="s">
        <v>7</v>
      </c>
      <c r="D27">
        <v>4</v>
      </c>
      <c r="E27" s="1">
        <v>137.38999999999999</v>
      </c>
      <c r="F27" s="1">
        <v>34.35</v>
      </c>
      <c r="G27">
        <v>48</v>
      </c>
      <c r="I27" s="3" t="s">
        <v>20</v>
      </c>
      <c r="J27" s="8">
        <v>22</v>
      </c>
      <c r="K27" s="1">
        <v>867.19</v>
      </c>
      <c r="L27" s="1">
        <v>41.998333333333328</v>
      </c>
      <c r="M27" s="5">
        <v>53</v>
      </c>
      <c r="O27" s="3" t="s">
        <v>20</v>
      </c>
      <c r="P27" s="1">
        <v>867.19</v>
      </c>
    </row>
    <row r="28" spans="1:16" x14ac:dyDescent="0.3">
      <c r="A28" s="19">
        <v>45566</v>
      </c>
      <c r="B28" t="s">
        <v>17</v>
      </c>
      <c r="C28" t="s">
        <v>4</v>
      </c>
      <c r="D28">
        <v>3</v>
      </c>
      <c r="E28" s="1">
        <v>132.12</v>
      </c>
      <c r="F28" s="1">
        <v>44.04</v>
      </c>
      <c r="G28">
        <v>45</v>
      </c>
      <c r="I28" s="3" t="s">
        <v>15</v>
      </c>
      <c r="J28" s="8">
        <v>73</v>
      </c>
      <c r="K28" s="1">
        <v>2738</v>
      </c>
      <c r="L28" s="1">
        <v>37.195</v>
      </c>
      <c r="M28" s="5">
        <v>47.666666666666664</v>
      </c>
      <c r="O28" s="3" t="s">
        <v>15</v>
      </c>
      <c r="P28" s="1">
        <v>2738</v>
      </c>
    </row>
    <row r="29" spans="1:16" x14ac:dyDescent="0.3">
      <c r="A29" s="19">
        <v>45566</v>
      </c>
      <c r="B29" t="s">
        <v>16</v>
      </c>
      <c r="C29" t="s">
        <v>8</v>
      </c>
      <c r="D29">
        <v>5</v>
      </c>
      <c r="E29" s="1">
        <v>110.77</v>
      </c>
      <c r="F29" s="1">
        <v>22.15</v>
      </c>
      <c r="G29">
        <v>56</v>
      </c>
      <c r="I29" s="3" t="s">
        <v>17</v>
      </c>
      <c r="J29" s="8">
        <v>15</v>
      </c>
      <c r="K29" s="1">
        <v>459.59000000000003</v>
      </c>
      <c r="L29" s="1">
        <v>32.873333333333335</v>
      </c>
      <c r="M29" s="5">
        <v>58</v>
      </c>
      <c r="O29" s="3" t="s">
        <v>17</v>
      </c>
      <c r="P29" s="1">
        <v>459.59000000000003</v>
      </c>
    </row>
    <row r="30" spans="1:16" x14ac:dyDescent="0.3">
      <c r="A30" s="19">
        <v>45566</v>
      </c>
      <c r="B30" t="s">
        <v>20</v>
      </c>
      <c r="C30" t="s">
        <v>11</v>
      </c>
      <c r="D30">
        <v>2</v>
      </c>
      <c r="E30" s="1">
        <v>82.56</v>
      </c>
      <c r="F30" s="1">
        <v>41.28</v>
      </c>
      <c r="G30">
        <v>33</v>
      </c>
      <c r="I30" s="3" t="s">
        <v>16</v>
      </c>
      <c r="J30" s="8">
        <v>15</v>
      </c>
      <c r="K30" s="1">
        <v>427.41999999999996</v>
      </c>
      <c r="L30" s="1">
        <v>28.586666666666662</v>
      </c>
      <c r="M30" s="5">
        <v>52.666666666666664</v>
      </c>
      <c r="O30" s="3" t="s">
        <v>16</v>
      </c>
      <c r="P30" s="1">
        <v>427.41999999999996</v>
      </c>
    </row>
    <row r="31" spans="1:16" x14ac:dyDescent="0.3">
      <c r="A31" s="19">
        <v>45566</v>
      </c>
      <c r="B31" t="s">
        <v>18</v>
      </c>
      <c r="C31" t="s">
        <v>3</v>
      </c>
      <c r="D31">
        <v>2</v>
      </c>
      <c r="E31" s="1">
        <v>65.069999999999993</v>
      </c>
      <c r="F31" s="1">
        <v>32.54</v>
      </c>
      <c r="G31">
        <v>102</v>
      </c>
      <c r="I31" s="3" t="s">
        <v>12</v>
      </c>
      <c r="J31" s="8">
        <v>148</v>
      </c>
      <c r="K31" s="1">
        <v>5360.1399999999994</v>
      </c>
      <c r="L31" s="1">
        <v>36.974000000000004</v>
      </c>
      <c r="M31" s="5">
        <v>51.43333333333333</v>
      </c>
      <c r="O31" s="3" t="s">
        <v>12</v>
      </c>
      <c r="P31" s="1">
        <v>5360.14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9340-6A6E-4776-B250-CB43191AE40E}">
  <dimension ref="D1:N19"/>
  <sheetViews>
    <sheetView showGridLines="0" workbookViewId="0">
      <selection activeCell="J6" sqref="J6"/>
    </sheetView>
  </sheetViews>
  <sheetFormatPr defaultRowHeight="14.4" x14ac:dyDescent="0.3"/>
  <cols>
    <col min="1" max="1" width="10.44140625" bestFit="1" customWidth="1"/>
    <col min="2" max="2" width="13.6640625" bestFit="1" customWidth="1"/>
    <col min="3" max="3" width="10.44140625" bestFit="1" customWidth="1"/>
    <col min="4" max="4" width="13.33203125" bestFit="1" customWidth="1"/>
    <col min="5" max="5" width="14.33203125" customWidth="1"/>
    <col min="6" max="6" width="18" style="1" customWidth="1"/>
    <col min="7" max="7" width="8.33203125" customWidth="1"/>
    <col min="8" max="9" width="20.33203125" customWidth="1"/>
    <col min="10" max="10" width="21.77734375" bestFit="1" customWidth="1"/>
    <col min="11" max="11" width="21" bestFit="1" customWidth="1"/>
    <col min="12" max="12" width="20.33203125" customWidth="1"/>
  </cols>
  <sheetData>
    <row r="1" spans="4:11" x14ac:dyDescent="0.3">
      <c r="D1" s="14"/>
      <c r="E1" s="14"/>
      <c r="F1" s="14"/>
      <c r="G1" s="14"/>
      <c r="H1" s="15"/>
      <c r="I1" s="14"/>
      <c r="J1" s="14"/>
      <c r="K1" s="14"/>
    </row>
    <row r="2" spans="4:11" x14ac:dyDescent="0.3">
      <c r="D2" s="17" t="s">
        <v>13</v>
      </c>
      <c r="E2" s="17" t="s">
        <v>48</v>
      </c>
      <c r="F2" s="17" t="s">
        <v>45</v>
      </c>
      <c r="G2" s="18" t="s">
        <v>14</v>
      </c>
      <c r="H2" s="17" t="s">
        <v>49</v>
      </c>
    </row>
    <row r="3" spans="4:11" x14ac:dyDescent="0.3">
      <c r="D3" t="s">
        <v>19</v>
      </c>
      <c r="E3">
        <v>17</v>
      </c>
      <c r="F3">
        <v>17</v>
      </c>
      <c r="G3" s="1">
        <v>37.380000000000003</v>
      </c>
      <c r="H3">
        <v>1</v>
      </c>
    </row>
    <row r="4" spans="4:11" x14ac:dyDescent="0.3">
      <c r="D4" t="s">
        <v>18</v>
      </c>
      <c r="E4">
        <v>18</v>
      </c>
      <c r="F4">
        <v>17</v>
      </c>
      <c r="G4" s="1">
        <v>30.71</v>
      </c>
      <c r="H4">
        <v>1.06</v>
      </c>
    </row>
    <row r="5" spans="4:11" x14ac:dyDescent="0.3">
      <c r="D5" t="s">
        <v>20</v>
      </c>
      <c r="E5">
        <v>5</v>
      </c>
      <c r="F5">
        <v>5</v>
      </c>
      <c r="G5" s="1">
        <v>32.840000000000003</v>
      </c>
      <c r="H5">
        <v>1</v>
      </c>
    </row>
    <row r="6" spans="4:11" x14ac:dyDescent="0.3">
      <c r="D6" t="s">
        <v>15</v>
      </c>
      <c r="E6">
        <v>26</v>
      </c>
      <c r="F6">
        <v>26</v>
      </c>
      <c r="G6" s="1">
        <v>31.5</v>
      </c>
      <c r="H6">
        <v>1</v>
      </c>
    </row>
    <row r="7" spans="4:11" x14ac:dyDescent="0.3">
      <c r="D7" t="s">
        <v>17</v>
      </c>
      <c r="E7">
        <v>20</v>
      </c>
      <c r="F7">
        <v>20</v>
      </c>
      <c r="G7" s="1">
        <v>32.869999999999997</v>
      </c>
      <c r="H7">
        <v>1</v>
      </c>
    </row>
    <row r="8" spans="4:11" x14ac:dyDescent="0.3">
      <c r="D8" t="s">
        <v>16</v>
      </c>
      <c r="E8">
        <v>14</v>
      </c>
      <c r="F8">
        <v>14</v>
      </c>
      <c r="G8" s="1">
        <v>28.67</v>
      </c>
      <c r="H8">
        <v>1</v>
      </c>
    </row>
    <row r="19" spans="14:14" ht="21" x14ac:dyDescent="0.4">
      <c r="N19" s="12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FB5F-4446-4F0B-A90D-E6E5F73E6C71}">
  <dimension ref="C2:L23"/>
  <sheetViews>
    <sheetView showGridLines="0" workbookViewId="0">
      <selection activeCell="E30" sqref="E30"/>
    </sheetView>
  </sheetViews>
  <sheetFormatPr defaultRowHeight="14.4" x14ac:dyDescent="0.3"/>
  <cols>
    <col min="1" max="2" width="17.5546875" bestFit="1" customWidth="1"/>
    <col min="3" max="3" width="17.5546875" customWidth="1"/>
    <col min="4" max="4" width="16.88671875" bestFit="1" customWidth="1"/>
    <col min="5" max="5" width="20.21875" bestFit="1" customWidth="1"/>
    <col min="6" max="6" width="15.77734375" style="13" bestFit="1" customWidth="1"/>
    <col min="7" max="7" width="17.5546875" bestFit="1" customWidth="1"/>
    <col min="8" max="8" width="16.88671875" style="4" bestFit="1" customWidth="1"/>
    <col min="9" max="9" width="20.109375" bestFit="1" customWidth="1"/>
    <col min="10" max="10" width="19.109375" bestFit="1" customWidth="1"/>
    <col min="11" max="11" width="19.6640625" style="9" customWidth="1"/>
    <col min="12" max="12" width="15.5546875" style="7" customWidth="1"/>
  </cols>
  <sheetData>
    <row r="2" spans="3:12" x14ac:dyDescent="0.3">
      <c r="C2" t="s">
        <v>44</v>
      </c>
      <c r="D2" t="s">
        <v>45</v>
      </c>
      <c r="E2" t="s">
        <v>46</v>
      </c>
      <c r="F2" s="13" t="s">
        <v>47</v>
      </c>
      <c r="G2" s="4"/>
      <c r="H2"/>
      <c r="K2"/>
      <c r="L2"/>
    </row>
    <row r="3" spans="3:12" x14ac:dyDescent="0.3">
      <c r="C3" t="s">
        <v>54</v>
      </c>
      <c r="D3">
        <v>79</v>
      </c>
      <c r="E3">
        <v>43</v>
      </c>
      <c r="F3" s="13">
        <v>0.54400000000000004</v>
      </c>
      <c r="G3" s="4"/>
      <c r="H3"/>
      <c r="K3"/>
      <c r="L3"/>
    </row>
    <row r="4" spans="3:12" x14ac:dyDescent="0.3">
      <c r="C4" t="s">
        <v>23</v>
      </c>
      <c r="D4">
        <v>321</v>
      </c>
      <c r="E4">
        <v>162</v>
      </c>
      <c r="F4" s="13">
        <v>0.505</v>
      </c>
      <c r="G4" s="4"/>
      <c r="H4"/>
      <c r="K4"/>
      <c r="L4"/>
    </row>
    <row r="5" spans="3:12" x14ac:dyDescent="0.3">
      <c r="C5" t="s">
        <v>24</v>
      </c>
      <c r="D5">
        <v>169</v>
      </c>
      <c r="E5">
        <v>86</v>
      </c>
      <c r="F5" s="13">
        <v>0.50900000000000001</v>
      </c>
      <c r="G5" s="4"/>
      <c r="H5"/>
      <c r="K5"/>
      <c r="L5"/>
    </row>
    <row r="6" spans="3:12" x14ac:dyDescent="0.3">
      <c r="G6" s="4"/>
      <c r="H6"/>
      <c r="J6" s="9"/>
      <c r="K6" s="7"/>
      <c r="L6"/>
    </row>
    <row r="7" spans="3:12" x14ac:dyDescent="0.3">
      <c r="G7" s="4"/>
      <c r="H7"/>
      <c r="J7" s="9"/>
      <c r="K7" s="7"/>
      <c r="L7"/>
    </row>
    <row r="8" spans="3:12" x14ac:dyDescent="0.3">
      <c r="G8" s="4"/>
      <c r="H8"/>
      <c r="J8" s="9"/>
      <c r="K8" s="7"/>
      <c r="L8"/>
    </row>
    <row r="9" spans="3:12" x14ac:dyDescent="0.3">
      <c r="G9" s="4"/>
      <c r="H9"/>
      <c r="J9" s="9"/>
      <c r="K9" s="7"/>
      <c r="L9"/>
    </row>
    <row r="10" spans="3:12" x14ac:dyDescent="0.3">
      <c r="G10" s="4"/>
      <c r="H10"/>
      <c r="J10" s="9"/>
      <c r="K10" s="7"/>
      <c r="L10"/>
    </row>
    <row r="11" spans="3:12" x14ac:dyDescent="0.3">
      <c r="G11" s="4"/>
      <c r="H11"/>
      <c r="J11" s="9"/>
      <c r="K11" s="7"/>
      <c r="L11"/>
    </row>
    <row r="12" spans="3:12" x14ac:dyDescent="0.3">
      <c r="G12" s="4"/>
      <c r="H12"/>
      <c r="J12" s="9"/>
      <c r="K12" s="7"/>
      <c r="L12"/>
    </row>
    <row r="13" spans="3:12" x14ac:dyDescent="0.3">
      <c r="G13" s="4"/>
      <c r="H13"/>
      <c r="J13" s="9"/>
      <c r="K13" s="7"/>
      <c r="L13"/>
    </row>
    <row r="14" spans="3:12" x14ac:dyDescent="0.3">
      <c r="G14" s="4"/>
      <c r="H14"/>
      <c r="J14" s="9"/>
      <c r="K14" s="7"/>
      <c r="L14"/>
    </row>
    <row r="15" spans="3:12" x14ac:dyDescent="0.3">
      <c r="G15" s="4"/>
      <c r="H15"/>
      <c r="J15" s="9"/>
      <c r="K15" s="7"/>
      <c r="L15"/>
    </row>
    <row r="16" spans="3:12" x14ac:dyDescent="0.3">
      <c r="G16" s="4"/>
      <c r="H16"/>
      <c r="J16" s="9"/>
      <c r="K16" s="7"/>
      <c r="L16"/>
    </row>
    <row r="17" spans="7:12" x14ac:dyDescent="0.3">
      <c r="G17" s="4"/>
      <c r="H17"/>
      <c r="J17" s="9"/>
      <c r="K17" s="7"/>
      <c r="L17"/>
    </row>
    <row r="18" spans="7:12" x14ac:dyDescent="0.3">
      <c r="G18" s="4"/>
      <c r="H18"/>
      <c r="J18" s="9"/>
      <c r="K18" s="7"/>
      <c r="L18"/>
    </row>
    <row r="19" spans="7:12" x14ac:dyDescent="0.3">
      <c r="G19" s="4"/>
      <c r="H19"/>
      <c r="J19" s="9"/>
      <c r="K19" s="7"/>
      <c r="L19"/>
    </row>
    <row r="20" spans="7:12" x14ac:dyDescent="0.3">
      <c r="G20" s="4"/>
      <c r="H20"/>
      <c r="J20" s="9"/>
      <c r="K20" s="7"/>
      <c r="L20"/>
    </row>
    <row r="21" spans="7:12" x14ac:dyDescent="0.3">
      <c r="G21" s="4"/>
      <c r="H21"/>
      <c r="J21" s="9"/>
      <c r="K21" s="7"/>
      <c r="L21"/>
    </row>
    <row r="22" spans="7:12" x14ac:dyDescent="0.3">
      <c r="G22" s="4"/>
      <c r="H22"/>
      <c r="J22" s="9"/>
      <c r="K22" s="7"/>
      <c r="L22"/>
    </row>
    <row r="23" spans="7:12" x14ac:dyDescent="0.3">
      <c r="G23" s="4"/>
      <c r="H23"/>
      <c r="J23" s="9"/>
      <c r="K23" s="7"/>
      <c r="L23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54EE-79E2-445B-AC83-884DAEE2001F}">
  <dimension ref="D2:P25"/>
  <sheetViews>
    <sheetView showGridLines="0" workbookViewId="0">
      <selection activeCell="N13" sqref="N13"/>
    </sheetView>
  </sheetViews>
  <sheetFormatPr defaultRowHeight="14.4" x14ac:dyDescent="0.3"/>
  <cols>
    <col min="4" max="4" width="9.33203125" style="16" customWidth="1"/>
    <col min="5" max="5" width="13.44140625" customWidth="1"/>
    <col min="6" max="6" width="15.21875" style="1" customWidth="1"/>
    <col min="7" max="7" width="8.6640625" style="1" customWidth="1"/>
    <col min="8" max="8" width="17" style="13" customWidth="1"/>
    <col min="9" max="9" width="14.5546875" style="13" customWidth="1"/>
    <col min="10" max="10" width="13.44140625" style="13" customWidth="1"/>
    <col min="11" max="11" width="14.88671875" customWidth="1"/>
    <col min="12" max="12" width="11.88671875" style="16" customWidth="1"/>
    <col min="13" max="13" width="11.88671875" style="10" customWidth="1"/>
    <col min="14" max="14" width="26.109375" style="6" bestFit="1" customWidth="1"/>
    <col min="15" max="15" width="28.44140625" style="6" bestFit="1" customWidth="1"/>
    <col min="16" max="16" width="22.88671875" style="6" bestFit="1" customWidth="1"/>
    <col min="17" max="18" width="22.88671875" bestFit="1" customWidth="1"/>
  </cols>
  <sheetData>
    <row r="2" spans="4:16" x14ac:dyDescent="0.3">
      <c r="D2" s="16" t="s">
        <v>27</v>
      </c>
      <c r="E2" t="s">
        <v>48</v>
      </c>
      <c r="F2" s="1" t="s">
        <v>28</v>
      </c>
      <c r="G2" s="1" t="s">
        <v>14</v>
      </c>
      <c r="H2" s="13" t="s">
        <v>29</v>
      </c>
      <c r="I2" s="13" t="s">
        <v>30</v>
      </c>
      <c r="J2" s="13" t="s">
        <v>31</v>
      </c>
      <c r="K2" t="s">
        <v>32</v>
      </c>
      <c r="L2"/>
      <c r="M2"/>
      <c r="N2"/>
      <c r="O2"/>
      <c r="P2"/>
    </row>
    <row r="3" spans="4:16" x14ac:dyDescent="0.3">
      <c r="D3" s="16">
        <v>45627</v>
      </c>
      <c r="E3">
        <v>217</v>
      </c>
      <c r="F3" s="1">
        <v>7292.25</v>
      </c>
      <c r="G3" s="1">
        <v>33.6</v>
      </c>
      <c r="H3" s="13">
        <v>-9.2999999999999999E-2</v>
      </c>
      <c r="I3" s="13">
        <v>-8.4000000000000005E-2</v>
      </c>
      <c r="J3" s="13">
        <v>-1.0999999999999999E-2</v>
      </c>
      <c r="K3" t="s">
        <v>25</v>
      </c>
      <c r="L3"/>
      <c r="M3"/>
      <c r="N3"/>
      <c r="O3"/>
      <c r="P3"/>
    </row>
    <row r="4" spans="4:16" x14ac:dyDescent="0.3">
      <c r="D4" s="16">
        <v>45597</v>
      </c>
      <c r="E4">
        <v>237</v>
      </c>
      <c r="F4" s="1">
        <v>8052.33</v>
      </c>
      <c r="G4" s="1">
        <v>33.979999999999997</v>
      </c>
      <c r="H4" s="13">
        <v>-0.121</v>
      </c>
      <c r="I4" s="13">
        <v>-8.5000000000000006E-2</v>
      </c>
      <c r="J4" s="13">
        <v>-3.9E-2</v>
      </c>
      <c r="K4" t="s">
        <v>25</v>
      </c>
      <c r="L4"/>
      <c r="M4"/>
      <c r="N4"/>
      <c r="O4"/>
      <c r="P4"/>
    </row>
    <row r="5" spans="4:16" x14ac:dyDescent="0.3">
      <c r="D5" s="16">
        <v>45566</v>
      </c>
      <c r="E5">
        <v>259</v>
      </c>
      <c r="F5" s="1">
        <v>9155.7900000000009</v>
      </c>
      <c r="G5" s="1">
        <v>35.35</v>
      </c>
      <c r="H5" s="13">
        <v>0.155</v>
      </c>
      <c r="I5" s="13">
        <v>9.7000000000000003E-2</v>
      </c>
      <c r="J5" s="13">
        <v>5.2999999999999999E-2</v>
      </c>
      <c r="K5" t="s">
        <v>25</v>
      </c>
      <c r="L5"/>
      <c r="M5"/>
      <c r="N5"/>
      <c r="O5"/>
      <c r="P5"/>
    </row>
    <row r="6" spans="4:16" x14ac:dyDescent="0.3">
      <c r="D6" s="16">
        <v>45536</v>
      </c>
      <c r="E6">
        <v>236</v>
      </c>
      <c r="F6" s="1">
        <v>7925.62</v>
      </c>
      <c r="G6" s="1">
        <v>33.58</v>
      </c>
      <c r="H6" s="13">
        <v>-0.125</v>
      </c>
      <c r="I6" s="13">
        <v>-0.10299999999999999</v>
      </c>
      <c r="J6" s="13">
        <v>-2.5000000000000001E-2</v>
      </c>
      <c r="K6" t="s">
        <v>25</v>
      </c>
      <c r="L6"/>
      <c r="M6"/>
      <c r="N6"/>
      <c r="O6"/>
      <c r="P6"/>
    </row>
    <row r="7" spans="4:16" x14ac:dyDescent="0.3">
      <c r="D7" s="16">
        <v>45505</v>
      </c>
      <c r="E7">
        <v>263</v>
      </c>
      <c r="F7" s="1">
        <v>9057.9500000000007</v>
      </c>
      <c r="G7" s="1">
        <v>34.44</v>
      </c>
      <c r="H7" s="13">
        <v>0.249</v>
      </c>
      <c r="I7" s="13">
        <v>0.23499999999999999</v>
      </c>
      <c r="J7" s="13">
        <v>1.2E-2</v>
      </c>
      <c r="K7" t="s">
        <v>25</v>
      </c>
      <c r="L7"/>
      <c r="M7"/>
      <c r="N7"/>
      <c r="O7"/>
      <c r="P7"/>
    </row>
    <row r="8" spans="4:16" x14ac:dyDescent="0.3">
      <c r="D8" s="16">
        <v>45474</v>
      </c>
      <c r="E8">
        <v>213</v>
      </c>
      <c r="F8" s="1">
        <v>7251.93</v>
      </c>
      <c r="G8" s="1">
        <v>34.049999999999997</v>
      </c>
      <c r="H8" s="13">
        <v>-7.2999999999999995E-2</v>
      </c>
      <c r="I8" s="13">
        <v>-6.6000000000000003E-2</v>
      </c>
      <c r="J8" s="13">
        <v>-8.0000000000000002E-3</v>
      </c>
      <c r="K8" t="s">
        <v>25</v>
      </c>
      <c r="L8"/>
      <c r="M8"/>
      <c r="N8"/>
      <c r="O8"/>
      <c r="P8"/>
    </row>
    <row r="10" spans="4:16" x14ac:dyDescent="0.3">
      <c r="K10" s="13"/>
      <c r="L10" s="6"/>
      <c r="M10" s="16"/>
    </row>
    <row r="11" spans="4:16" x14ac:dyDescent="0.3">
      <c r="K11" s="13"/>
      <c r="L11" s="6"/>
      <c r="M11" s="16"/>
      <c r="O11"/>
    </row>
    <row r="12" spans="4:16" x14ac:dyDescent="0.3">
      <c r="K12" s="13"/>
      <c r="L12" s="6"/>
      <c r="M12" s="16"/>
      <c r="O12"/>
    </row>
    <row r="13" spans="4:16" x14ac:dyDescent="0.3">
      <c r="K13" s="13"/>
      <c r="L13" s="6"/>
      <c r="M13" s="16"/>
      <c r="O13"/>
    </row>
    <row r="14" spans="4:16" x14ac:dyDescent="0.3">
      <c r="K14" s="13"/>
      <c r="L14" s="6"/>
      <c r="M14" s="16"/>
      <c r="O14"/>
      <c r="P14" s="4"/>
    </row>
    <row r="15" spans="4:16" x14ac:dyDescent="0.3">
      <c r="K15" s="13"/>
      <c r="L15" s="6"/>
      <c r="M15" s="16"/>
      <c r="O15"/>
    </row>
    <row r="16" spans="4:16" x14ac:dyDescent="0.3">
      <c r="K16" s="13"/>
      <c r="L16" s="6"/>
      <c r="M16" s="16"/>
      <c r="O16"/>
    </row>
    <row r="17" spans="11:16" x14ac:dyDescent="0.3">
      <c r="K17" s="13"/>
      <c r="L17" s="6"/>
      <c r="M17" s="16"/>
      <c r="O17"/>
    </row>
    <row r="18" spans="11:16" x14ac:dyDescent="0.3">
      <c r="K18" s="13"/>
      <c r="L18" s="6"/>
      <c r="M18" s="16"/>
      <c r="O18"/>
    </row>
    <row r="19" spans="11:16" x14ac:dyDescent="0.3">
      <c r="K19" s="13"/>
      <c r="L19" s="6"/>
      <c r="M19" s="16"/>
      <c r="O19"/>
    </row>
    <row r="20" spans="11:16" x14ac:dyDescent="0.3">
      <c r="K20" s="13"/>
      <c r="L20" s="6"/>
      <c r="M20" s="16"/>
      <c r="O20"/>
    </row>
    <row r="21" spans="11:16" x14ac:dyDescent="0.3">
      <c r="K21" s="13"/>
      <c r="L21" s="6"/>
      <c r="M21" s="16"/>
      <c r="O21"/>
    </row>
    <row r="22" spans="11:16" x14ac:dyDescent="0.3">
      <c r="K22" s="13"/>
      <c r="L22" s="6"/>
      <c r="M22" s="16"/>
      <c r="O22"/>
    </row>
    <row r="23" spans="11:16" x14ac:dyDescent="0.3">
      <c r="K23" s="13"/>
      <c r="L23" s="6"/>
      <c r="M23" s="16"/>
      <c r="O23"/>
    </row>
    <row r="24" spans="11:16" x14ac:dyDescent="0.3">
      <c r="M24" s="8"/>
      <c r="O24"/>
    </row>
    <row r="25" spans="11:16" x14ac:dyDescent="0.3">
      <c r="M25" s="8"/>
      <c r="O25"/>
      <c r="P25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A3E7-164C-4ABE-B2C5-714EFC75930C}">
  <dimension ref="A1"/>
  <sheetViews>
    <sheetView showGridLines="0" workbookViewId="0">
      <selection activeCell="Q17" sqref="Q17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BDD1F6-835B-472C-8C33-5816FEF52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Retailer Performance - SPAR</vt:lpstr>
      <vt:lpstr>Basket Analysis - Premier</vt:lpstr>
      <vt:lpstr>Customer Retention &amp; Delivery</vt:lpstr>
      <vt:lpstr>Growth Drivers</vt:lpstr>
      <vt:lpstr>Schema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Callum Grant</cp:lastModifiedBy>
  <cp:revision/>
  <dcterms:created xsi:type="dcterms:W3CDTF">2026-01-18T18:19:26Z</dcterms:created>
  <dcterms:modified xsi:type="dcterms:W3CDTF">2026-01-30T09:15:58Z</dcterms:modified>
  <cp:category/>
  <cp:contentStatus/>
</cp:coreProperties>
</file>